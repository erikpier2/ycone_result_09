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erikp\Bureau\inscrits\"/>
    </mc:Choice>
  </mc:AlternateContent>
  <xr:revisionPtr revIDLastSave="0" documentId="13_ncr:1_{DF8190CE-49F0-464E-9C39-D8763C526F3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encours" sheetId="1" r:id="rId1"/>
    <sheet name="ote" sheetId="3" r:id="rId2"/>
    <sheet name="aout" sheetId="2" r:id="rId3"/>
    <sheet name="octobre" sheetId="5" r:id="rId4"/>
    <sheet name="base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4" i="3" l="1"/>
</calcChain>
</file>

<file path=xl/sharedStrings.xml><?xml version="1.0" encoding="utf-8"?>
<sst xmlns="http://schemas.openxmlformats.org/spreadsheetml/2006/main" count="1505" uniqueCount="514">
  <si>
    <t>Informations clés</t>
  </si>
  <si>
    <t>CDL Sprint Besançon(25) 20/09</t>
  </si>
  <si>
    <t>CO-VTT CDL Mass Start E2 Grenant(21) 27/09</t>
  </si>
  <si>
    <t>Nom</t>
  </si>
  <si>
    <t>S.I.</t>
  </si>
  <si>
    <t>Cat.</t>
  </si>
  <si>
    <t>1.Circ.</t>
  </si>
  <si>
    <t>1.Hor.</t>
  </si>
  <si>
    <t>1.Rés.</t>
  </si>
  <si>
    <t>1.Pl.</t>
  </si>
  <si>
    <t>écart</t>
  </si>
  <si>
    <t>2.Circ.</t>
  </si>
  <si>
    <t>2.Hor.</t>
  </si>
  <si>
    <t>2.Rés.</t>
  </si>
  <si>
    <t>2.Pl.</t>
  </si>
  <si>
    <t>3.Circ.</t>
  </si>
  <si>
    <t>3.Hor.</t>
  </si>
  <si>
    <t>3.Rés.</t>
  </si>
  <si>
    <t>3.Pl.</t>
  </si>
  <si>
    <t>4.Circ.</t>
  </si>
  <si>
    <t>4.Hor.</t>
  </si>
  <si>
    <t>4.Rés.</t>
  </si>
  <si>
    <t>4.Pl.</t>
  </si>
  <si>
    <t>5.Circ.</t>
  </si>
  <si>
    <t>5.Hor.</t>
  </si>
  <si>
    <t>5.Rés.</t>
  </si>
  <si>
    <t>5.Pl.</t>
  </si>
  <si>
    <t>6.Circ.</t>
  </si>
  <si>
    <t>6.Hor.</t>
  </si>
  <si>
    <t>6.Rés.</t>
  </si>
  <si>
    <t>6.Pl.</t>
  </si>
  <si>
    <t>7.Circ.</t>
  </si>
  <si>
    <t>7.Hor.</t>
  </si>
  <si>
    <t>7.Rés.</t>
  </si>
  <si>
    <t>7.Pl.</t>
  </si>
  <si>
    <t>8.Circ.</t>
  </si>
  <si>
    <t>8.Hor.</t>
  </si>
  <si>
    <t>8.Rés.</t>
  </si>
  <si>
    <t>8.Pl.</t>
  </si>
  <si>
    <t>9.Circ.</t>
  </si>
  <si>
    <t>9.Hor.</t>
  </si>
  <si>
    <t>9.Rés.</t>
  </si>
  <si>
    <t>9.Pl.</t>
  </si>
  <si>
    <t>10.Circ.</t>
  </si>
  <si>
    <t>10.Hor.</t>
  </si>
  <si>
    <t>10.Rés.</t>
  </si>
  <si>
    <t>10.Pl.</t>
  </si>
  <si>
    <t>11.Circ.</t>
  </si>
  <si>
    <t>11.Hor.</t>
  </si>
  <si>
    <t>11.Rés.</t>
  </si>
  <si>
    <t>11.Pl.</t>
  </si>
  <si>
    <t>12.Circ.</t>
  </si>
  <si>
    <t>12.Hor.</t>
  </si>
  <si>
    <t>12Rés.</t>
  </si>
  <si>
    <t>12.Pl.</t>
  </si>
  <si>
    <t>13.Circ.</t>
  </si>
  <si>
    <t>13.Hor.</t>
  </si>
  <si>
    <t>13.Rés.</t>
  </si>
  <si>
    <t>13.Pl.</t>
  </si>
  <si>
    <t>14.Circ.</t>
  </si>
  <si>
    <t>14.Hor.</t>
  </si>
  <si>
    <t>14.Rés.</t>
  </si>
  <si>
    <t>14.Pl.</t>
  </si>
  <si>
    <t>15.Circ.</t>
  </si>
  <si>
    <t>15.Hor.</t>
  </si>
  <si>
    <t>15.Rés.</t>
  </si>
  <si>
    <t>15.Pl.</t>
  </si>
  <si>
    <t>H14</t>
  </si>
  <si>
    <t>:</t>
  </si>
  <si>
    <t>-</t>
  </si>
  <si>
    <t>E</t>
  </si>
  <si>
    <t>C</t>
  </si>
  <si>
    <t>D</t>
  </si>
  <si>
    <t>GUERIN Franck</t>
  </si>
  <si>
    <t>H65</t>
  </si>
  <si>
    <t>F</t>
  </si>
  <si>
    <t>M</t>
  </si>
  <si>
    <t>MOINE Emeline</t>
  </si>
  <si>
    <t>D21</t>
  </si>
  <si>
    <t>B</t>
  </si>
  <si>
    <t>MOINE Francis</t>
  </si>
  <si>
    <t>H50</t>
  </si>
  <si>
    <t>PIERRE Eric</t>
  </si>
  <si>
    <t>Violet Moyen</t>
  </si>
  <si>
    <t>MD rég. Nuits(21) 06/09</t>
  </si>
  <si>
    <t>LD Rég. Curley(21) 13/09</t>
  </si>
  <si>
    <t>CO-VTT CDL Sprint Curley(21) 13/09</t>
  </si>
  <si>
    <t>CDL(IF) Sprint Elancourt(78) 13/09</t>
  </si>
  <si>
    <t>MD Urbaine Besançon(25) 20/09</t>
  </si>
  <si>
    <t>CO-VTT CDL MD Daix(21) 26/09</t>
  </si>
  <si>
    <t>MD Rég. E1 Gissey(21) 27/09</t>
  </si>
  <si>
    <t>WE O'C 2026 MD #1 Verzy(51) 3/10</t>
  </si>
  <si>
    <t>WE O'C 2026 MD nocturne #2 Epernay(51)</t>
  </si>
  <si>
    <t>WE O'C 2026 LD #3 Rilly(51) 4/10</t>
  </si>
  <si>
    <t>NSE Sprint Lambesc(13) 3/10</t>
  </si>
  <si>
    <t>NSE LD Meyrargues(13) 4/10</t>
  </si>
  <si>
    <t>9/20</t>
  </si>
  <si>
    <t>+27:45</t>
  </si>
  <si>
    <t>BERNARD Gaëtan</t>
  </si>
  <si>
    <t>H21</t>
  </si>
  <si>
    <t>Noir</t>
  </si>
  <si>
    <t>12/21</t>
  </si>
  <si>
    <t>+19:44</t>
  </si>
  <si>
    <t>A</t>
  </si>
  <si>
    <t>/</t>
  </si>
  <si>
    <t>BOUTRON Camille</t>
  </si>
  <si>
    <t>D20</t>
  </si>
  <si>
    <t>Violet Long</t>
  </si>
  <si>
    <t>BRUNEL Marie-Jo</t>
  </si>
  <si>
    <t>D70</t>
  </si>
  <si>
    <t>Violet Court</t>
  </si>
  <si>
    <t>19/21</t>
  </si>
  <si>
    <t>+49:46</t>
  </si>
  <si>
    <t>COUESNON Pascal</t>
  </si>
  <si>
    <t>21/21</t>
  </si>
  <si>
    <t>+1:04:44</t>
  </si>
  <si>
    <t>DENIEL Marc</t>
  </si>
  <si>
    <t>14/15</t>
  </si>
  <si>
    <t>+45:19</t>
  </si>
  <si>
    <t>DENIEL Morgan</t>
  </si>
  <si>
    <t>Jaune</t>
  </si>
  <si>
    <t>4/10</t>
  </si>
  <si>
    <t>+23:01</t>
  </si>
  <si>
    <t>G1</t>
  </si>
  <si>
    <t>LOUAT Aimé</t>
  </si>
  <si>
    <t>H75</t>
  </si>
  <si>
    <t>15/21</t>
  </si>
  <si>
    <t>+39:30</t>
  </si>
  <si>
    <t>MAGNY Eric</t>
  </si>
  <si>
    <t>16/21</t>
  </si>
  <si>
    <t>+31:49</t>
  </si>
  <si>
    <t>+26:20</t>
  </si>
  <si>
    <t>3/21</t>
  </si>
  <si>
    <t>+8:32</t>
  </si>
  <si>
    <t>5/15</t>
  </si>
  <si>
    <t>+8:10</t>
  </si>
  <si>
    <t>+24:55</t>
  </si>
  <si>
    <t>13/15</t>
  </si>
  <si>
    <t>+29:05</t>
  </si>
  <si>
    <t>STEWARD Madeleine</t>
  </si>
  <si>
    <t>D50</t>
  </si>
  <si>
    <t>6/20</t>
  </si>
  <si>
    <t>+17:09</t>
  </si>
  <si>
    <t>PAM</t>
  </si>
  <si>
    <t>D65</t>
  </si>
  <si>
    <t>Orange Court</t>
  </si>
  <si>
    <t>10/13</t>
  </si>
  <si>
    <t>+44:02</t>
  </si>
  <si>
    <t>3/4</t>
  </si>
  <si>
    <t>+37:44</t>
  </si>
  <si>
    <t>Sprint Vittel(88) 16/08</t>
  </si>
  <si>
    <t>MD Luxeuil(70) 19/08</t>
  </si>
  <si>
    <t>VTT-MD Luxeuil(70) 19/08</t>
  </si>
  <si>
    <t>MD Monthureux(88) 21/08</t>
  </si>
  <si>
    <t>CF Relais de Cat. Claudon(88) 22/08</t>
  </si>
  <si>
    <t>CF LD &amp; Open Claudon(88) 23/08</t>
  </si>
  <si>
    <t>CO-VTT LD Charroux(03) 29/08</t>
  </si>
  <si>
    <t>BOUVIER Gabin</t>
  </si>
  <si>
    <t>N</t>
  </si>
  <si>
    <t>+10:23</t>
  </si>
  <si>
    <t>L</t>
  </si>
  <si>
    <t>20/33</t>
  </si>
  <si>
    <t>+33:11</t>
  </si>
  <si>
    <t>BOUVIER Grégory</t>
  </si>
  <si>
    <t>H40</t>
  </si>
  <si>
    <t>19/26</t>
  </si>
  <si>
    <t>+9:08</t>
  </si>
  <si>
    <t>18/25</t>
  </si>
  <si>
    <t>+1:12:04</t>
  </si>
  <si>
    <t>BOUVIER Léonie</t>
  </si>
  <si>
    <t>D10</t>
  </si>
  <si>
    <t>Q</t>
  </si>
  <si>
    <t>17/22</t>
  </si>
  <si>
    <t>+25:30</t>
  </si>
  <si>
    <t>COLLIN Pierre</t>
  </si>
  <si>
    <t>H55</t>
  </si>
  <si>
    <t>PM</t>
  </si>
  <si>
    <t>*</t>
  </si>
  <si>
    <t>R2 H55</t>
  </si>
  <si>
    <t>R2 H65</t>
  </si>
  <si>
    <t>14/31</t>
  </si>
  <si>
    <t>+22:24</t>
  </si>
  <si>
    <t>MICHAUT Elodie</t>
  </si>
  <si>
    <t>D40</t>
  </si>
  <si>
    <t>I</t>
  </si>
  <si>
    <t>31/34</t>
  </si>
  <si>
    <t>+57:26</t>
  </si>
  <si>
    <t>+5:40</t>
  </si>
  <si>
    <t>+51:12</t>
  </si>
  <si>
    <t>+1:22</t>
  </si>
  <si>
    <t>+19:26</t>
  </si>
  <si>
    <t>+4:01</t>
  </si>
  <si>
    <t>H</t>
  </si>
  <si>
    <t>+13:46</t>
  </si>
  <si>
    <t>+14:44</t>
  </si>
  <si>
    <t>13/22</t>
  </si>
  <si>
    <t>+28:15</t>
  </si>
  <si>
    <t>25/29</t>
  </si>
  <si>
    <t>+44:53</t>
  </si>
  <si>
    <t>R1 H65</t>
  </si>
  <si>
    <t>16/27</t>
  </si>
  <si>
    <t>+12:31</t>
  </si>
  <si>
    <t>Orange Long</t>
  </si>
  <si>
    <t>+6:47</t>
  </si>
  <si>
    <t>THOMASSIN Fabrice</t>
  </si>
  <si>
    <t>+8:57</t>
  </si>
  <si>
    <t>R1 H55</t>
  </si>
  <si>
    <t>Open H55</t>
  </si>
  <si>
    <t>+3:32</t>
  </si>
  <si>
    <t>ZHEN Danni</t>
  </si>
  <si>
    <t>+14:10</t>
  </si>
  <si>
    <t>Open D40</t>
  </si>
  <si>
    <t>+12:40</t>
  </si>
  <si>
    <t>Ycone-1 Eric/Franck</t>
  </si>
  <si>
    <t>+14:58</t>
  </si>
  <si>
    <t>Ycone-2 Fabrice/Pierre</t>
  </si>
  <si>
    <t>+6:15</t>
  </si>
  <si>
    <t>11/12</t>
  </si>
  <si>
    <t>1/10</t>
  </si>
  <si>
    <t>8/23</t>
  </si>
  <si>
    <t>4/9</t>
  </si>
  <si>
    <t>3/28</t>
  </si>
  <si>
    <t>6/9</t>
  </si>
  <si>
    <t>11/56</t>
  </si>
  <si>
    <t>11/33</t>
  </si>
  <si>
    <t>12/41</t>
  </si>
  <si>
    <t>7/35</t>
  </si>
  <si>
    <t>6/25</t>
  </si>
  <si>
    <t>8/37</t>
  </si>
  <si>
    <t>7/25</t>
  </si>
  <si>
    <t>+4:04</t>
  </si>
  <si>
    <t>5/10</t>
  </si>
  <si>
    <t>4/21</t>
  </si>
  <si>
    <t>2/11</t>
  </si>
  <si>
    <t>LD Tignécourt(88) 17/08</t>
  </si>
  <si>
    <t>6/28</t>
  </si>
  <si>
    <t>+5:01</t>
  </si>
  <si>
    <t>8903BF</t>
  </si>
  <si>
    <t>YCONE-Sens</t>
  </si>
  <si>
    <t>BF</t>
  </si>
  <si>
    <t>AGOSTINI</t>
  </si>
  <si>
    <t>Emmanuel</t>
  </si>
  <si>
    <t>Compétition</t>
  </si>
  <si>
    <t>AGOSTINI  Emmanuel</t>
  </si>
  <si>
    <t>BARBIER</t>
  </si>
  <si>
    <t>Patrick</t>
  </si>
  <si>
    <t>H60</t>
  </si>
  <si>
    <t>BARBIER  Patrick</t>
  </si>
  <si>
    <t>BARBOSA-DUHAUTOY</t>
  </si>
  <si>
    <t>Céline</t>
  </si>
  <si>
    <t>BARBOSA-DUHAUTOY  Céline</t>
  </si>
  <si>
    <t>BERNARD</t>
  </si>
  <si>
    <t>Gaëtan</t>
  </si>
  <si>
    <t>BERNARD  Gaëtan</t>
  </si>
  <si>
    <t>BOURGOIN</t>
  </si>
  <si>
    <t>Quentin</t>
  </si>
  <si>
    <t>H18</t>
  </si>
  <si>
    <t>H17</t>
  </si>
  <si>
    <t>BOURGOIN  Quentin</t>
  </si>
  <si>
    <t>Sylvain</t>
  </si>
  <si>
    <t>H45</t>
  </si>
  <si>
    <t>BOURGOIN  Sylvain</t>
  </si>
  <si>
    <t>BOUTRON</t>
  </si>
  <si>
    <t>Agathe</t>
  </si>
  <si>
    <t>BOUTRON  Agathe</t>
  </si>
  <si>
    <t>Camille</t>
  </si>
  <si>
    <t>BOUTRON  Camille</t>
  </si>
  <si>
    <t>BOUVIER</t>
  </si>
  <si>
    <t>Gabin</t>
  </si>
  <si>
    <t>BOUVIER  Gabin</t>
  </si>
  <si>
    <t>Grégory</t>
  </si>
  <si>
    <t>BOUVIER  Grégory</t>
  </si>
  <si>
    <t>Léonie</t>
  </si>
  <si>
    <t>BOUVIER  Léonie</t>
  </si>
  <si>
    <t>BRUNEL</t>
  </si>
  <si>
    <t>Marie-Jo</t>
  </si>
  <si>
    <t>BRUNEL  Marie-Jo</t>
  </si>
  <si>
    <t>CHAISY</t>
  </si>
  <si>
    <t>Cléa</t>
  </si>
  <si>
    <t>CHAISY  Cléa</t>
  </si>
  <si>
    <t>Emma</t>
  </si>
  <si>
    <t>D18</t>
  </si>
  <si>
    <t>D17</t>
  </si>
  <si>
    <t>CHAISY  Emma</t>
  </si>
  <si>
    <t>CHAPILLON</t>
  </si>
  <si>
    <t>élouan</t>
  </si>
  <si>
    <t>H10</t>
  </si>
  <si>
    <t>CHAPILLON  élouan</t>
  </si>
  <si>
    <t>Loélie</t>
  </si>
  <si>
    <t>CHAPILLON  Loélie</t>
  </si>
  <si>
    <t>Maëlle</t>
  </si>
  <si>
    <t>D35</t>
  </si>
  <si>
    <t>CHAPILLON  Maëlle</t>
  </si>
  <si>
    <t>Maxence</t>
  </si>
  <si>
    <t>H35</t>
  </si>
  <si>
    <t>CHAPILLON  Maxence</t>
  </si>
  <si>
    <t>CHEVALLIER</t>
  </si>
  <si>
    <t>Pascaline</t>
  </si>
  <si>
    <t>D55</t>
  </si>
  <si>
    <t>CHEVALLIER  Pascaline</t>
  </si>
  <si>
    <t>COLLIN</t>
  </si>
  <si>
    <t>Pierre</t>
  </si>
  <si>
    <t>COLLIN  Pierre</t>
  </si>
  <si>
    <t>COUESNON</t>
  </si>
  <si>
    <t>Lesley-Ann</t>
  </si>
  <si>
    <t>COUESNON  Lesley-Ann</t>
  </si>
  <si>
    <t>Pascal</t>
  </si>
  <si>
    <t>COUESNON  Pascal</t>
  </si>
  <si>
    <t>Rémi</t>
  </si>
  <si>
    <t>COUESNON  Rémi</t>
  </si>
  <si>
    <t>DENIEL</t>
  </si>
  <si>
    <t>Marc</t>
  </si>
  <si>
    <t>DENIEL  Marc</t>
  </si>
  <si>
    <t>Morgan</t>
  </si>
  <si>
    <t>DENIEL  Morgan</t>
  </si>
  <si>
    <t>DUHAUTOY</t>
  </si>
  <si>
    <t>Clémence</t>
  </si>
  <si>
    <t>D16</t>
  </si>
  <si>
    <t>DUHAUTOY  Clémence</t>
  </si>
  <si>
    <t>Noémie</t>
  </si>
  <si>
    <t>DUHAUTOY  Noémie</t>
  </si>
  <si>
    <t>GLAUD</t>
  </si>
  <si>
    <t>GLAUD  Pierre</t>
  </si>
  <si>
    <t>GOURVIL</t>
  </si>
  <si>
    <t>Corentin</t>
  </si>
  <si>
    <t>Découverte Compétition</t>
  </si>
  <si>
    <t>GOURVIL  Corentin</t>
  </si>
  <si>
    <t>GUERIN</t>
  </si>
  <si>
    <t>Franck</t>
  </si>
  <si>
    <t>GUERIN  Franck</t>
  </si>
  <si>
    <t>LANCELOT</t>
  </si>
  <si>
    <t>Kristell</t>
  </si>
  <si>
    <t>LANCELOT  Kristell</t>
  </si>
  <si>
    <t>LENOBLE COLLIN</t>
  </si>
  <si>
    <t>Sandrine</t>
  </si>
  <si>
    <t>LENOBLE COLLIN  Sandrine</t>
  </si>
  <si>
    <t>LOUAT</t>
  </si>
  <si>
    <t>Aimé</t>
  </si>
  <si>
    <t>LOUAT  Aimé</t>
  </si>
  <si>
    <t>MAGNY</t>
  </si>
  <si>
    <t>Eric</t>
  </si>
  <si>
    <t>MAGNY  Eric</t>
  </si>
  <si>
    <t>MICHAUT</t>
  </si>
  <si>
    <t>Elodie</t>
  </si>
  <si>
    <t>MICHAUT  Elodie</t>
  </si>
  <si>
    <t>MOINE</t>
  </si>
  <si>
    <t>Emeline</t>
  </si>
  <si>
    <t>MOINE  Emeline</t>
  </si>
  <si>
    <t>Francis</t>
  </si>
  <si>
    <t>MOINE  Francis</t>
  </si>
  <si>
    <t>Oscar</t>
  </si>
  <si>
    <t>H20</t>
  </si>
  <si>
    <t>MOINE  Oscar</t>
  </si>
  <si>
    <t>NEVEU</t>
  </si>
  <si>
    <t>Isabelle</t>
  </si>
  <si>
    <t>D60</t>
  </si>
  <si>
    <t>NEVEU  Isabelle</t>
  </si>
  <si>
    <t>PIERRE</t>
  </si>
  <si>
    <t>PIERRE  Eric</t>
  </si>
  <si>
    <t>RENIE</t>
  </si>
  <si>
    <t>Cedrick</t>
  </si>
  <si>
    <t>RENIE  Cedrick</t>
  </si>
  <si>
    <t>RENIE-DUMAND</t>
  </si>
  <si>
    <t>Esmée</t>
  </si>
  <si>
    <t>RENIE-DUMAND  Esmée</t>
  </si>
  <si>
    <t>Sacha</t>
  </si>
  <si>
    <t>RENIE-DUMAND  Sacha</t>
  </si>
  <si>
    <t>SELLIER</t>
  </si>
  <si>
    <t>Marion</t>
  </si>
  <si>
    <t>Loisir Santé</t>
  </si>
  <si>
    <t>SELLIER  Marion</t>
  </si>
  <si>
    <t>STEWARD</t>
  </si>
  <si>
    <t>Madeleine</t>
  </si>
  <si>
    <t>STEWARD  Madeleine</t>
  </si>
  <si>
    <t>THOMASSIN</t>
  </si>
  <si>
    <t>Fabrice</t>
  </si>
  <si>
    <t>THOMASSIN  Fabrice</t>
  </si>
  <si>
    <t>Lorraine</t>
  </si>
  <si>
    <t>THOMASSIN  Lorraine</t>
  </si>
  <si>
    <t>VANNOYE</t>
  </si>
  <si>
    <t>Laëtitia</t>
  </si>
  <si>
    <t>VANNOYE  Laëtitia</t>
  </si>
  <si>
    <t>5803BF</t>
  </si>
  <si>
    <t>NORD</t>
  </si>
  <si>
    <t>AMBEC</t>
  </si>
  <si>
    <t>François-xavier</t>
  </si>
  <si>
    <t>AMBEC  François-xavier</t>
  </si>
  <si>
    <t>BIALOU</t>
  </si>
  <si>
    <t>Héloise</t>
  </si>
  <si>
    <t>BIALOU  Héloise</t>
  </si>
  <si>
    <t>Julien</t>
  </si>
  <si>
    <t>BIALOU  Julien</t>
  </si>
  <si>
    <t>Nolan</t>
  </si>
  <si>
    <t>H16</t>
  </si>
  <si>
    <t>BIALOU  Nolan</t>
  </si>
  <si>
    <t>BILLOT</t>
  </si>
  <si>
    <t>BILLOT  Isabelle</t>
  </si>
  <si>
    <t>BLANCHART</t>
  </si>
  <si>
    <t>Jean-Luc</t>
  </si>
  <si>
    <t>BLANCHART  Jean-Luc</t>
  </si>
  <si>
    <t>BOUYON</t>
  </si>
  <si>
    <t>Catherine</t>
  </si>
  <si>
    <t>BOUYON  Catherine</t>
  </si>
  <si>
    <t>Daniel</t>
  </si>
  <si>
    <t>H70</t>
  </si>
  <si>
    <t>BOUYON  Daniel</t>
  </si>
  <si>
    <t>CARTERET</t>
  </si>
  <si>
    <t>Aymery</t>
  </si>
  <si>
    <t>CARTERET  Aymery</t>
  </si>
  <si>
    <t>David</t>
  </si>
  <si>
    <t>CARTERET  David</t>
  </si>
  <si>
    <t>DOUMET</t>
  </si>
  <si>
    <t>DOUMET  Catherine</t>
  </si>
  <si>
    <t>DOUMET  Fabrice</t>
  </si>
  <si>
    <t>GILBERT</t>
  </si>
  <si>
    <t>GILBERT  Céline</t>
  </si>
  <si>
    <t>Florian</t>
  </si>
  <si>
    <t>GILBERT  Florian</t>
  </si>
  <si>
    <t>Naelle</t>
  </si>
  <si>
    <t>GILBERT  Naelle</t>
  </si>
  <si>
    <t>Yannis</t>
  </si>
  <si>
    <t>GILBERT  Yannis</t>
  </si>
  <si>
    <t>GOROSPE</t>
  </si>
  <si>
    <t>Regino</t>
  </si>
  <si>
    <t>GOROSPE  Regino</t>
  </si>
  <si>
    <t>GRANGE</t>
  </si>
  <si>
    <t>Philippe</t>
  </si>
  <si>
    <t>GRANGE  Philippe</t>
  </si>
  <si>
    <t>HENRIOT</t>
  </si>
  <si>
    <t>HENRIOT  Daniel</t>
  </si>
  <si>
    <t>JANDARD</t>
  </si>
  <si>
    <t>JANDARD  Marc</t>
  </si>
  <si>
    <t>KERCOFF</t>
  </si>
  <si>
    <t>KERCOFF  Daniel</t>
  </si>
  <si>
    <t>Helene</t>
  </si>
  <si>
    <t>D75</t>
  </si>
  <si>
    <t>KERCOFF  Helene</t>
  </si>
  <si>
    <t>KNUDSON</t>
  </si>
  <si>
    <t>Kyla</t>
  </si>
  <si>
    <t>D45</t>
  </si>
  <si>
    <t>KNUDSON  Kyla</t>
  </si>
  <si>
    <t>MALNOURY</t>
  </si>
  <si>
    <t>Patrice</t>
  </si>
  <si>
    <t>MALNOURY  Patrice</t>
  </si>
  <si>
    <t>MASSON</t>
  </si>
  <si>
    <t>Mireille</t>
  </si>
  <si>
    <t>MASSON  Mireille</t>
  </si>
  <si>
    <t>MONNE</t>
  </si>
  <si>
    <t>Alain</t>
  </si>
  <si>
    <t>MONNE  Alain</t>
  </si>
  <si>
    <t>MONTJOIE</t>
  </si>
  <si>
    <t>Claire</t>
  </si>
  <si>
    <t>MONTJOIE  Claire</t>
  </si>
  <si>
    <t>NAUDINOT</t>
  </si>
  <si>
    <t>Nolwenn</t>
  </si>
  <si>
    <t>NAUDINOT  Nolwenn</t>
  </si>
  <si>
    <t>NICOLAS</t>
  </si>
  <si>
    <t>NICOLAS  Alain</t>
  </si>
  <si>
    <t>Anne-Marie</t>
  </si>
  <si>
    <t>PIERRE  Anne-Marie</t>
  </si>
  <si>
    <t>Cyrille</t>
  </si>
  <si>
    <t>PIERRE  Cyrille</t>
  </si>
  <si>
    <t>PLANCHARD</t>
  </si>
  <si>
    <t>Virginie</t>
  </si>
  <si>
    <t>PLANCHARD  Virginie</t>
  </si>
  <si>
    <t>PRUDHOMME</t>
  </si>
  <si>
    <t>PRUDHOMME  Alain</t>
  </si>
  <si>
    <t>REGNIER</t>
  </si>
  <si>
    <t>Corinne</t>
  </si>
  <si>
    <t>REGNIER  Corinne</t>
  </si>
  <si>
    <t>SIGNORET</t>
  </si>
  <si>
    <t>SIGNORET  Pascal</t>
  </si>
  <si>
    <t>Valérie</t>
  </si>
  <si>
    <t>SIGNORET  Valérie</t>
  </si>
  <si>
    <t>THIBAUDAT</t>
  </si>
  <si>
    <t>Fabien</t>
  </si>
  <si>
    <t>THIBAUDAT  Fabien</t>
  </si>
  <si>
    <t>TRAULLE</t>
  </si>
  <si>
    <t>Jean-Marc</t>
  </si>
  <si>
    <t>TRAULLE  Jean-Marc</t>
  </si>
  <si>
    <t>WARZECHA</t>
  </si>
  <si>
    <t>Wladimir</t>
  </si>
  <si>
    <t>WARZECHA  Wladimir</t>
  </si>
  <si>
    <t>N°</t>
  </si>
  <si>
    <t>Nbre</t>
  </si>
  <si>
    <t>N° club</t>
  </si>
  <si>
    <t>Ville</t>
  </si>
  <si>
    <t>Li</t>
  </si>
  <si>
    <t>Licence</t>
  </si>
  <si>
    <t>Puce</t>
  </si>
  <si>
    <t>Prénom</t>
  </si>
  <si>
    <t>Né</t>
  </si>
  <si>
    <t>S</t>
  </si>
  <si>
    <t>N° cat.</t>
  </si>
  <si>
    <t>Court</t>
  </si>
  <si>
    <t>clFOR</t>
  </si>
  <si>
    <t>ptFOR</t>
  </si>
  <si>
    <t>clSPR</t>
  </si>
  <si>
    <t>ptSPR</t>
  </si>
  <si>
    <t>plVTT</t>
  </si>
  <si>
    <t>ptVTT</t>
  </si>
  <si>
    <t>Age</t>
  </si>
  <si>
    <t>Cat-VTT</t>
  </si>
  <si>
    <t>SurClass</t>
  </si>
  <si>
    <t>Type-Lic</t>
  </si>
  <si>
    <t>Nom + Prénom</t>
  </si>
  <si>
    <t>Comp</t>
  </si>
  <si>
    <t>Décou</t>
  </si>
  <si>
    <t>Lois</t>
  </si>
  <si>
    <t>Handi</t>
  </si>
  <si>
    <t>Lic.class</t>
  </si>
  <si>
    <t>Nom2</t>
  </si>
  <si>
    <t>Colonne3</t>
  </si>
  <si>
    <t>Abis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</si>
</sst>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quotePrefix="1"/>
    <xf numFmtId="164" fontId="0" fillId="0" borderId="0" xfId="0" applyNumberFormat="1"/>
    <xf numFmtId="21" fontId="0" fillId="0" borderId="0" xfId="0" applyNumberFormat="1"/>
    <xf numFmtId="20" fontId="0" fillId="0" borderId="0" xfId="0" applyNumberFormat="1"/>
    <xf numFmtId="16" fontId="0" fillId="0" borderId="0" xfId="0" applyNumberFormat="1"/>
    <xf numFmtId="46" fontId="0" fillId="0" borderId="0" xfId="0" applyNumberFormat="1"/>
    <xf numFmtId="17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20" fontId="0" fillId="0" borderId="0" xfId="0" quotePrefix="1" applyNumberFormat="1"/>
    <xf numFmtId="0" fontId="2" fillId="3" borderId="1" xfId="0" applyFont="1" applyFill="1" applyBorder="1" applyAlignment="1">
      <alignment horizontal="right"/>
    </xf>
    <xf numFmtId="0" fontId="2" fillId="3" borderId="1" xfId="0" applyFont="1" applyFill="1" applyBorder="1" applyAlignment="1">
      <alignment horizontal="left"/>
    </xf>
    <xf numFmtId="0" fontId="2" fillId="3" borderId="1" xfId="0" applyFont="1" applyFill="1" applyBorder="1"/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left" indent="1"/>
    </xf>
    <xf numFmtId="0" fontId="2" fillId="3" borderId="1" xfId="0" applyFont="1" applyFill="1" applyBorder="1" applyAlignment="1">
      <alignment horizontal="right" indent="1"/>
    </xf>
    <xf numFmtId="0" fontId="2" fillId="0" borderId="1" xfId="0" applyFont="1" applyBorder="1" applyAlignment="1">
      <alignment horizontal="right"/>
    </xf>
    <xf numFmtId="0" fontId="2" fillId="0" borderId="1" xfId="0" applyFont="1" applyBorder="1" applyAlignment="1">
      <alignment horizontal="left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 indent="1"/>
    </xf>
    <xf numFmtId="0" fontId="2" fillId="0" borderId="1" xfId="0" applyFont="1" applyBorder="1" applyAlignment="1">
      <alignment horizontal="right" indent="1"/>
    </xf>
    <xf numFmtId="46" fontId="0" fillId="3" borderId="1" xfId="0" applyNumberFormat="1" applyFont="1" applyFill="1" applyBorder="1"/>
    <xf numFmtId="46" fontId="0" fillId="0" borderId="1" xfId="0" applyNumberFormat="1" applyFont="1" applyBorder="1"/>
    <xf numFmtId="0" fontId="3" fillId="2" borderId="0" xfId="0" applyFont="1" applyFill="1" applyBorder="1"/>
    <xf numFmtId="20" fontId="3" fillId="2" borderId="0" xfId="0" applyNumberFormat="1" applyFont="1" applyFill="1" applyBorder="1"/>
    <xf numFmtId="46" fontId="3" fillId="2" borderId="0" xfId="0" applyNumberFormat="1" applyFont="1" applyFill="1" applyBorder="1"/>
    <xf numFmtId="49" fontId="3" fillId="2" borderId="0" xfId="0" applyNumberFormat="1" applyFont="1" applyFill="1" applyBorder="1"/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1" formatCode="[h]:mm:ss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5" formatCode="hh:mm"/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317500</xdr:colOff>
          <xdr:row>15</xdr:row>
          <xdr:rowOff>50800</xdr:rowOff>
        </xdr:to>
        <xdr:sp macro="" textlink="">
          <xdr:nvSpPr>
            <xdr:cNvPr id="2049" name="Cboauto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6A175C-BBEA-472E-B39B-15E83FC16A85}" name="Tab_base" displayName="Tab_base" ref="A1:AE88" totalsRowShown="0" headerRowDxfId="33" dataDxfId="32" tableBorderDxfId="31">
  <autoFilter ref="A1:AE88" xr:uid="{426A175C-BBEA-472E-B39B-15E83FC16A85}"/>
  <tableColumns count="31">
    <tableColumn id="1" xr3:uid="{85B3B5CA-C237-4833-821C-9BD27042A7AD}" name="N°" dataDxfId="30"/>
    <tableColumn id="2" xr3:uid="{A869470D-4254-464D-B289-09FE647C7DD8}" name="Nbre" dataDxfId="29"/>
    <tableColumn id="3" xr3:uid="{9AE0F530-55E4-435B-BB6F-D20FA863D79A}" name="N° club" dataDxfId="28"/>
    <tableColumn id="4" xr3:uid="{8195C881-010D-4F82-8CB6-5BFB1B4AA78C}" name="Nom" dataDxfId="27"/>
    <tableColumn id="5" xr3:uid="{298BD28F-E9E2-451B-BB72-AD15D1FCE553}" name="Ville" dataDxfId="26"/>
    <tableColumn id="6" xr3:uid="{1157D986-0D67-45C8-9DF3-53DDE2D4FF48}" name="Li" dataDxfId="25"/>
    <tableColumn id="7" xr3:uid="{E917E423-D3E0-4E2F-B402-917373639301}" name="Licence" dataDxfId="24"/>
    <tableColumn id="8" xr3:uid="{BDBD9CDB-ED14-4CDE-BA48-9840462D4B2C}" name="Puce" dataDxfId="23"/>
    <tableColumn id="9" xr3:uid="{70DD94AE-5A79-4626-80C4-638BD34AC556}" name="Nom2" dataDxfId="22"/>
    <tableColumn id="10" xr3:uid="{9EC80070-BC60-4AD9-A5E6-21912F019B9A}" name="Prénom" dataDxfId="21"/>
    <tableColumn id="11" xr3:uid="{51A59989-EFB9-436F-B399-7E0B3E37A744}" name="Né" dataDxfId="20"/>
    <tableColumn id="12" xr3:uid="{466D0D07-058F-4D80-870B-BD33113A0CEB}" name="S" dataDxfId="19"/>
    <tableColumn id="13" xr3:uid="{0631B679-EA75-42BD-9DF9-94C1E94F5F80}" name="N° cat." dataDxfId="18"/>
    <tableColumn id="14" xr3:uid="{79F18190-1334-4804-A664-2B90D0D33264}" name="Court" dataDxfId="17"/>
    <tableColumn id="15" xr3:uid="{7119F977-6DAE-4EB4-A03C-B1074C7B7671}" name="clFOR" dataDxfId="16"/>
    <tableColumn id="16" xr3:uid="{DBF6D6D7-BBDF-4D5E-82C9-C6E938E9F380}" name="ptFOR" dataDxfId="15"/>
    <tableColumn id="17" xr3:uid="{AF08247D-F3B6-410E-99BF-B776C120632D}" name="clSPR" dataDxfId="14"/>
    <tableColumn id="18" xr3:uid="{F5FC9871-73B6-446D-B6AB-E95FCDB3902D}" name="ptSPR" dataDxfId="13"/>
    <tableColumn id="19" xr3:uid="{1A86FBDB-46B7-4FC2-8ED7-F7501FFF7EF8}" name="plVTT" dataDxfId="12"/>
    <tableColumn id="20" xr3:uid="{A48EF68D-AE95-45A8-9559-3B44B8507C64}" name="ptVTT" dataDxfId="11"/>
    <tableColumn id="21" xr3:uid="{51ACBADD-471C-4621-BA9A-AF08904CEC35}" name="Age" dataDxfId="10"/>
    <tableColumn id="22" xr3:uid="{F19B188A-5E84-4144-A008-D8621ADA6313}" name="Cat-VTT" dataDxfId="9"/>
    <tableColumn id="23" xr3:uid="{7DBC9B3E-DFAA-4512-87FF-01DA170F1564}" name="SurClass" dataDxfId="8"/>
    <tableColumn id="24" xr3:uid="{B020545C-D0A9-4F80-A44D-C18055E3A042}" name="Type-Lic" dataDxfId="7"/>
    <tableColumn id="25" xr3:uid="{69B581DC-AEAF-49DC-8750-F6C48CF3E2B5}" name="Nom + Prénom" dataDxfId="6"/>
    <tableColumn id="26" xr3:uid="{53043354-37C4-4388-9C1D-4319CFA5B26C}" name="Comp" dataDxfId="5"/>
    <tableColumn id="27" xr3:uid="{00608FDB-D7A8-41A0-899A-8848263E3B5A}" name="Décou" dataDxfId="4"/>
    <tableColumn id="28" xr3:uid="{4D19FA44-9B38-49B5-9034-16DC42020A8F}" name="Lois" dataDxfId="3"/>
    <tableColumn id="29" xr3:uid="{63F4AE9B-750B-4D47-B4DF-1D6B57996C19}" name="Handi" dataDxfId="2"/>
    <tableColumn id="30" xr3:uid="{DF8AF4AB-DBAD-44BC-90CA-BC413C6135F1}" name="Lic.class" dataDxfId="1"/>
    <tableColumn id="31" xr3:uid="{F363890D-20A9-4030-9238-5A64885EC334}" name="Colonne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Z26"/>
  <sheetViews>
    <sheetView tabSelected="1" zoomScaleNormal="100" workbookViewId="0">
      <pane xSplit="3" ySplit="2" topLeftCell="AL3" activePane="bottomRight" state="frozen"/>
      <selection pane="topRight" activeCell="D1" sqref="D1"/>
      <selection pane="bottomLeft" activeCell="A3" sqref="A3"/>
      <selection pane="bottomRight" activeCell="AS17" sqref="AR17:AS17"/>
    </sheetView>
  </sheetViews>
  <sheetFormatPr baseColWidth="10" defaultColWidth="9.109375" defaultRowHeight="14.4" x14ac:dyDescent="0.3"/>
  <cols>
    <col min="1" max="1" width="18.21875" bestFit="1" customWidth="1"/>
    <col min="2" max="2" width="8" bestFit="1" customWidth="1"/>
    <col min="3" max="3" width="4.33203125" bestFit="1" customWidth="1"/>
    <col min="4" max="4" width="20.5546875" bestFit="1" customWidth="1"/>
    <col min="5" max="5" width="6.109375" style="4" bestFit="1" customWidth="1"/>
    <col min="6" max="6" width="7.109375" style="6" bestFit="1" customWidth="1"/>
    <col min="7" max="7" width="5.77734375" bestFit="1" customWidth="1"/>
    <col min="8" max="8" width="8.109375" style="8" bestFit="1" customWidth="1"/>
    <col min="9" max="9" width="21.21875" bestFit="1" customWidth="1"/>
    <col min="10" max="10" width="6.109375" style="4" bestFit="1" customWidth="1"/>
    <col min="11" max="11" width="7.109375" style="6" bestFit="1" customWidth="1"/>
    <col min="12" max="12" width="5.77734375" bestFit="1" customWidth="1"/>
    <col min="13" max="13" width="6.5546875" style="8" bestFit="1" customWidth="1"/>
    <col min="14" max="14" width="30.21875" bestFit="1" customWidth="1"/>
    <col min="15" max="15" width="6.109375" style="4" bestFit="1" customWidth="1"/>
    <col min="16" max="16" width="6" style="6" bestFit="1" customWidth="1"/>
    <col min="17" max="17" width="4.5546875" style="8" bestFit="1" customWidth="1"/>
    <col min="18" max="18" width="5.21875" style="8" bestFit="1" customWidth="1"/>
    <col min="19" max="19" width="28.77734375" bestFit="1" customWidth="1"/>
    <col min="20" max="20" width="6.109375" style="4" bestFit="1" customWidth="1"/>
    <col min="21" max="21" width="7.109375" style="6" bestFit="1" customWidth="1"/>
    <col min="22" max="22" width="6.5546875" style="8" bestFit="1" customWidth="1"/>
    <col min="23" max="23" width="5.21875" style="8" bestFit="1" customWidth="1"/>
    <col min="24" max="24" width="26.33203125" bestFit="1" customWidth="1"/>
    <col min="25" max="25" width="6.109375" style="4" bestFit="1" customWidth="1"/>
    <col min="26" max="26" width="6" style="6" bestFit="1" customWidth="1"/>
    <col min="27" max="27" width="4.5546875" bestFit="1" customWidth="1"/>
    <col min="28" max="28" width="5.21875" style="8" bestFit="1" customWidth="1"/>
    <col min="29" max="29" width="27.77734375" bestFit="1" customWidth="1"/>
    <col min="30" max="30" width="6.109375" style="4" bestFit="1" customWidth="1"/>
    <col min="31" max="31" width="6" style="6" bestFit="1" customWidth="1"/>
    <col min="32" max="32" width="4.5546875" bestFit="1" customWidth="1"/>
    <col min="33" max="33" width="5.21875" style="8" bestFit="1" customWidth="1"/>
    <col min="34" max="34" width="26.88671875" bestFit="1" customWidth="1"/>
    <col min="35" max="35" width="6.109375" style="4" bestFit="1" customWidth="1"/>
    <col min="36" max="36" width="6" style="6" bestFit="1" customWidth="1"/>
    <col min="37" max="37" width="4.5546875" bestFit="1" customWidth="1"/>
    <col min="38" max="38" width="5.21875" style="8" bestFit="1" customWidth="1"/>
    <col min="39" max="39" width="24.44140625" bestFit="1" customWidth="1"/>
    <col min="40" max="40" width="6.109375" style="4" bestFit="1" customWidth="1"/>
    <col min="41" max="41" width="6" style="6" bestFit="1" customWidth="1"/>
    <col min="42" max="42" width="4.5546875" bestFit="1" customWidth="1"/>
    <col min="43" max="43" width="5.21875" style="8" bestFit="1" customWidth="1"/>
    <col min="44" max="44" width="38.21875" bestFit="1" customWidth="1"/>
    <col min="45" max="45" width="6.109375" style="4" bestFit="1" customWidth="1"/>
    <col min="46" max="46" width="6" style="6" bestFit="1" customWidth="1"/>
    <col min="47" max="47" width="4.5546875" bestFit="1" customWidth="1"/>
    <col min="48" max="48" width="5.21875" style="8" bestFit="1" customWidth="1"/>
    <col min="49" max="49" width="29.88671875" bestFit="1" customWidth="1"/>
    <col min="50" max="50" width="7.109375" style="4" bestFit="1" customWidth="1"/>
    <col min="51" max="51" width="7" style="6" bestFit="1" customWidth="1"/>
    <col min="52" max="52" width="5.5546875" bestFit="1" customWidth="1"/>
    <col min="53" max="53" width="5.21875" style="8" bestFit="1" customWidth="1"/>
    <col min="54" max="54" width="35.6640625" bestFit="1" customWidth="1"/>
    <col min="55" max="55" width="7.109375" style="4" bestFit="1" customWidth="1"/>
    <col min="56" max="56" width="7" style="6" bestFit="1" customWidth="1"/>
    <col min="57" max="57" width="5.5546875" bestFit="1" customWidth="1"/>
    <col min="58" max="58" width="5.21875" style="8" bestFit="1" customWidth="1"/>
    <col min="59" max="59" width="28" bestFit="1" customWidth="1"/>
    <col min="60" max="60" width="7.109375" style="4" bestFit="1" customWidth="1"/>
    <col min="61" max="61" width="6.44140625" style="6" bestFit="1" customWidth="1"/>
    <col min="62" max="62" width="5.5546875" bestFit="1" customWidth="1"/>
    <col min="63" max="63" width="5.21875" style="8" bestFit="1" customWidth="1"/>
    <col min="64" max="64" width="24.44140625" bestFit="1" customWidth="1"/>
    <col min="65" max="65" width="7.109375" style="4" bestFit="1" customWidth="1"/>
    <col min="66" max="66" width="7" style="6" bestFit="1" customWidth="1"/>
    <col min="67" max="67" width="5.5546875" bestFit="1" customWidth="1"/>
    <col min="68" max="68" width="5.21875" style="8" bestFit="1" customWidth="1"/>
    <col min="69" max="69" width="24.33203125" bestFit="1" customWidth="1"/>
    <col min="70" max="70" width="7.109375" style="4" bestFit="1" customWidth="1"/>
    <col min="71" max="71" width="7" style="6" bestFit="1" customWidth="1"/>
    <col min="72" max="72" width="5.5546875" bestFit="1" customWidth="1"/>
    <col min="73" max="73" width="5.21875" style="8" bestFit="1" customWidth="1"/>
    <col min="74" max="74" width="7.21875" bestFit="1" customWidth="1"/>
    <col min="75" max="75" width="7.109375" style="4" bestFit="1" customWidth="1"/>
    <col min="76" max="76" width="7" style="6" bestFit="1" customWidth="1"/>
    <col min="77" max="77" width="5.5546875" bestFit="1" customWidth="1"/>
    <col min="78" max="78" width="5.21875" style="8" bestFit="1" customWidth="1"/>
  </cols>
  <sheetData>
    <row r="1" spans="1:78" x14ac:dyDescent="0.3">
      <c r="A1" t="s">
        <v>0</v>
      </c>
      <c r="D1" t="s">
        <v>84</v>
      </c>
      <c r="I1" t="s">
        <v>85</v>
      </c>
      <c r="N1" t="s">
        <v>86</v>
      </c>
      <c r="S1" t="s">
        <v>87</v>
      </c>
      <c r="X1" t="s">
        <v>1</v>
      </c>
      <c r="AC1" t="s">
        <v>88</v>
      </c>
      <c r="AH1" t="s">
        <v>89</v>
      </c>
      <c r="AM1" t="s">
        <v>90</v>
      </c>
      <c r="AR1" t="s">
        <v>2</v>
      </c>
      <c r="AW1" t="s">
        <v>91</v>
      </c>
      <c r="BB1" t="s">
        <v>92</v>
      </c>
      <c r="BG1" t="s">
        <v>93</v>
      </c>
      <c r="BL1" t="s">
        <v>94</v>
      </c>
      <c r="BQ1" t="s">
        <v>95</v>
      </c>
    </row>
    <row r="2" spans="1:78" x14ac:dyDescent="0.3">
      <c r="A2" t="s">
        <v>3</v>
      </c>
      <c r="B2" t="s">
        <v>4</v>
      </c>
      <c r="C2" s="1" t="s">
        <v>5</v>
      </c>
      <c r="D2" t="s">
        <v>6</v>
      </c>
      <c r="E2" s="4" t="s">
        <v>7</v>
      </c>
      <c r="F2" s="6" t="s">
        <v>8</v>
      </c>
      <c r="G2" s="1" t="s">
        <v>9</v>
      </c>
      <c r="H2" s="8" t="s">
        <v>10</v>
      </c>
      <c r="I2" t="s">
        <v>11</v>
      </c>
      <c r="J2" s="4" t="s">
        <v>12</v>
      </c>
      <c r="K2" s="6" t="s">
        <v>13</v>
      </c>
      <c r="L2" t="s">
        <v>14</v>
      </c>
      <c r="M2" s="9" t="s">
        <v>10</v>
      </c>
      <c r="N2" t="s">
        <v>15</v>
      </c>
      <c r="O2" s="4" t="s">
        <v>16</v>
      </c>
      <c r="P2" s="6" t="s">
        <v>17</v>
      </c>
      <c r="Q2" s="8" t="s">
        <v>18</v>
      </c>
      <c r="R2" s="8" t="s">
        <v>10</v>
      </c>
      <c r="S2" t="s">
        <v>19</v>
      </c>
      <c r="T2" s="4" t="s">
        <v>20</v>
      </c>
      <c r="U2" s="6" t="s">
        <v>21</v>
      </c>
      <c r="V2" s="8" t="s">
        <v>22</v>
      </c>
      <c r="W2" s="8" t="s">
        <v>10</v>
      </c>
      <c r="X2" t="s">
        <v>23</v>
      </c>
      <c r="Y2" s="4" t="s">
        <v>24</v>
      </c>
      <c r="Z2" s="6" t="s">
        <v>25</v>
      </c>
      <c r="AA2" t="s">
        <v>26</v>
      </c>
      <c r="AB2" s="8" t="s">
        <v>10</v>
      </c>
      <c r="AC2" t="s">
        <v>27</v>
      </c>
      <c r="AD2" s="4" t="s">
        <v>28</v>
      </c>
      <c r="AE2" s="6" t="s">
        <v>29</v>
      </c>
      <c r="AF2" t="s">
        <v>30</v>
      </c>
      <c r="AG2" s="8" t="s">
        <v>10</v>
      </c>
      <c r="AH2" t="s">
        <v>31</v>
      </c>
      <c r="AI2" s="4" t="s">
        <v>32</v>
      </c>
      <c r="AJ2" s="6" t="s">
        <v>33</v>
      </c>
      <c r="AK2" t="s">
        <v>34</v>
      </c>
      <c r="AL2" s="8" t="s">
        <v>10</v>
      </c>
      <c r="AM2" t="s">
        <v>35</v>
      </c>
      <c r="AN2" s="4" t="s">
        <v>36</v>
      </c>
      <c r="AO2" s="6" t="s">
        <v>37</v>
      </c>
      <c r="AP2" t="s">
        <v>38</v>
      </c>
      <c r="AQ2" s="8" t="s">
        <v>10</v>
      </c>
      <c r="AR2" t="s">
        <v>39</v>
      </c>
      <c r="AS2" s="4" t="s">
        <v>40</v>
      </c>
      <c r="AT2" s="6" t="s">
        <v>41</v>
      </c>
      <c r="AU2" t="s">
        <v>42</v>
      </c>
      <c r="AV2" s="8" t="s">
        <v>10</v>
      </c>
      <c r="AW2" t="s">
        <v>43</v>
      </c>
      <c r="AX2" s="4" t="s">
        <v>44</v>
      </c>
      <c r="AY2" s="6" t="s">
        <v>45</v>
      </c>
      <c r="AZ2" t="s">
        <v>46</v>
      </c>
      <c r="BA2" s="8" t="s">
        <v>10</v>
      </c>
      <c r="BB2" t="s">
        <v>47</v>
      </c>
      <c r="BC2" s="4" t="s">
        <v>48</v>
      </c>
      <c r="BD2" s="6" t="s">
        <v>49</v>
      </c>
      <c r="BE2" t="s">
        <v>50</v>
      </c>
      <c r="BF2" s="8" t="s">
        <v>10</v>
      </c>
      <c r="BG2" t="s">
        <v>51</v>
      </c>
      <c r="BH2" s="4" t="s">
        <v>52</v>
      </c>
      <c r="BI2" s="6" t="s">
        <v>53</v>
      </c>
      <c r="BJ2" t="s">
        <v>54</v>
      </c>
      <c r="BK2" s="8" t="s">
        <v>10</v>
      </c>
      <c r="BL2" t="s">
        <v>55</v>
      </c>
      <c r="BM2" s="4" t="s">
        <v>56</v>
      </c>
      <c r="BN2" s="6" t="s">
        <v>57</v>
      </c>
      <c r="BO2" t="s">
        <v>58</v>
      </c>
      <c r="BP2" s="8" t="s">
        <v>10</v>
      </c>
      <c r="BQ2" t="s">
        <v>59</v>
      </c>
      <c r="BR2" s="4" t="s">
        <v>60</v>
      </c>
      <c r="BS2" s="6" t="s">
        <v>61</v>
      </c>
      <c r="BT2" t="s">
        <v>62</v>
      </c>
      <c r="BU2" s="8" t="s">
        <v>10</v>
      </c>
      <c r="BV2" t="s">
        <v>63</v>
      </c>
      <c r="BW2" s="4" t="s">
        <v>64</v>
      </c>
      <c r="BX2" s="6" t="s">
        <v>65</v>
      </c>
      <c r="BY2" t="s">
        <v>66</v>
      </c>
      <c r="BZ2" s="8" t="s">
        <v>10</v>
      </c>
    </row>
    <row r="3" spans="1:78" x14ac:dyDescent="0.3">
      <c r="A3" t="s">
        <v>247</v>
      </c>
      <c r="B3">
        <v>8050858</v>
      </c>
      <c r="C3" t="s">
        <v>74</v>
      </c>
      <c r="D3" t="s">
        <v>83</v>
      </c>
      <c r="E3" s="4" t="s">
        <v>68</v>
      </c>
      <c r="F3" s="6">
        <v>4.6423611111111117E-2</v>
      </c>
      <c r="G3" s="5" t="s">
        <v>96</v>
      </c>
      <c r="H3" s="8" t="s">
        <v>97</v>
      </c>
    </row>
    <row r="4" spans="1:78" x14ac:dyDescent="0.3">
      <c r="A4" t="s">
        <v>98</v>
      </c>
      <c r="B4">
        <v>8581786</v>
      </c>
      <c r="C4" t="s">
        <v>99</v>
      </c>
      <c r="D4" t="s">
        <v>100</v>
      </c>
      <c r="E4" s="4" t="s">
        <v>68</v>
      </c>
      <c r="F4" s="6">
        <v>3.3101851851851848E-2</v>
      </c>
      <c r="G4" t="s">
        <v>101</v>
      </c>
      <c r="H4" s="8" t="s">
        <v>102</v>
      </c>
      <c r="AH4" t="s">
        <v>103</v>
      </c>
      <c r="AI4" s="4" t="s">
        <v>68</v>
      </c>
      <c r="AJ4" s="6" t="s">
        <v>68</v>
      </c>
      <c r="AK4" t="s">
        <v>104</v>
      </c>
      <c r="AM4" t="s">
        <v>100</v>
      </c>
      <c r="AN4" s="4" t="s">
        <v>68</v>
      </c>
      <c r="AO4" s="6" t="s">
        <v>68</v>
      </c>
      <c r="AP4" t="s">
        <v>104</v>
      </c>
      <c r="AR4" t="s">
        <v>103</v>
      </c>
      <c r="AS4" s="4" t="s">
        <v>68</v>
      </c>
      <c r="AT4" s="6" t="s">
        <v>68</v>
      </c>
      <c r="AU4" t="s">
        <v>104</v>
      </c>
    </row>
    <row r="5" spans="1:78" x14ac:dyDescent="0.3">
      <c r="A5" t="s">
        <v>105</v>
      </c>
      <c r="B5">
        <v>8171016</v>
      </c>
      <c r="C5" t="s">
        <v>106</v>
      </c>
      <c r="G5" s="5"/>
      <c r="X5" t="s">
        <v>79</v>
      </c>
      <c r="AC5" t="s">
        <v>107</v>
      </c>
    </row>
    <row r="6" spans="1:78" x14ac:dyDescent="0.3">
      <c r="A6" t="s">
        <v>108</v>
      </c>
      <c r="B6">
        <v>8545607</v>
      </c>
      <c r="C6" t="s">
        <v>109</v>
      </c>
      <c r="D6" t="s">
        <v>110</v>
      </c>
      <c r="E6" s="4" t="s">
        <v>68</v>
      </c>
      <c r="F6" s="6">
        <v>6.3055555555555545E-2</v>
      </c>
      <c r="G6" t="s">
        <v>111</v>
      </c>
      <c r="H6" s="8" t="s">
        <v>112</v>
      </c>
    </row>
    <row r="7" spans="1:78" x14ac:dyDescent="0.3">
      <c r="A7" t="s">
        <v>113</v>
      </c>
      <c r="B7">
        <v>1890311</v>
      </c>
      <c r="C7" t="s">
        <v>74</v>
      </c>
      <c r="D7" t="s">
        <v>110</v>
      </c>
      <c r="E7" s="4" t="s">
        <v>68</v>
      </c>
      <c r="F7" s="6">
        <v>7.3449074074074069E-2</v>
      </c>
      <c r="G7" t="s">
        <v>114</v>
      </c>
      <c r="H7" s="8" t="s">
        <v>115</v>
      </c>
    </row>
    <row r="8" spans="1:78" x14ac:dyDescent="0.3">
      <c r="A8" t="s">
        <v>116</v>
      </c>
      <c r="B8">
        <v>8527790</v>
      </c>
      <c r="C8" t="s">
        <v>81</v>
      </c>
      <c r="I8" t="s">
        <v>107</v>
      </c>
      <c r="J8" s="4" t="s">
        <v>68</v>
      </c>
      <c r="K8" s="6">
        <v>8.340277777777777E-2</v>
      </c>
      <c r="L8" t="s">
        <v>117</v>
      </c>
      <c r="M8" s="8" t="s">
        <v>118</v>
      </c>
      <c r="N8" t="s">
        <v>71</v>
      </c>
      <c r="O8" s="4" t="s">
        <v>68</v>
      </c>
      <c r="P8" s="6" t="s">
        <v>68</v>
      </c>
      <c r="Q8" s="8" t="s">
        <v>104</v>
      </c>
      <c r="AM8" t="s">
        <v>83</v>
      </c>
      <c r="AN8" s="4" t="s">
        <v>68</v>
      </c>
      <c r="AO8" s="6" t="s">
        <v>68</v>
      </c>
      <c r="AP8" t="s">
        <v>104</v>
      </c>
      <c r="AQ8" s="8" t="s">
        <v>69</v>
      </c>
      <c r="AR8" t="s">
        <v>71</v>
      </c>
      <c r="AS8" s="4" t="s">
        <v>68</v>
      </c>
      <c r="AT8" s="6" t="s">
        <v>68</v>
      </c>
      <c r="AU8" t="s">
        <v>104</v>
      </c>
      <c r="AV8" s="8" t="s">
        <v>69</v>
      </c>
    </row>
    <row r="9" spans="1:78" x14ac:dyDescent="0.3">
      <c r="A9" t="s">
        <v>119</v>
      </c>
      <c r="B9">
        <v>8542857</v>
      </c>
      <c r="C9" t="s">
        <v>67</v>
      </c>
      <c r="G9" s="5"/>
      <c r="I9" t="s">
        <v>120</v>
      </c>
      <c r="J9" s="4" t="s">
        <v>68</v>
      </c>
      <c r="K9" s="6">
        <v>3.2708333333333332E-2</v>
      </c>
      <c r="L9" s="5" t="s">
        <v>121</v>
      </c>
      <c r="M9" s="8" t="s">
        <v>122</v>
      </c>
      <c r="N9" t="s">
        <v>75</v>
      </c>
      <c r="O9" s="4" t="s">
        <v>68</v>
      </c>
      <c r="P9" s="6" t="s">
        <v>68</v>
      </c>
      <c r="Q9" s="8" t="s">
        <v>104</v>
      </c>
      <c r="AM9" t="s">
        <v>120</v>
      </c>
      <c r="AN9" s="4" t="s">
        <v>68</v>
      </c>
      <c r="AO9" s="6" t="s">
        <v>68</v>
      </c>
      <c r="AP9" t="s">
        <v>104</v>
      </c>
      <c r="AQ9" s="8" t="s">
        <v>69</v>
      </c>
      <c r="AR9" t="s">
        <v>75</v>
      </c>
      <c r="AS9" s="4" t="s">
        <v>68</v>
      </c>
      <c r="AT9" s="6" t="s">
        <v>68</v>
      </c>
      <c r="AU9" t="s">
        <v>104</v>
      </c>
      <c r="AV9" s="8" t="s">
        <v>69</v>
      </c>
    </row>
    <row r="10" spans="1:78" x14ac:dyDescent="0.3">
      <c r="A10" t="s">
        <v>73</v>
      </c>
      <c r="B10">
        <v>8008903</v>
      </c>
      <c r="C10" t="s">
        <v>74</v>
      </c>
      <c r="G10" s="7"/>
      <c r="L10" s="7"/>
      <c r="S10" t="s">
        <v>70</v>
      </c>
      <c r="T10" s="4" t="s">
        <v>68</v>
      </c>
      <c r="U10" s="6">
        <v>1.1759259259259259E-2</v>
      </c>
      <c r="V10" s="8" t="s">
        <v>235</v>
      </c>
      <c r="W10" s="9" t="s">
        <v>236</v>
      </c>
      <c r="BL10" t="s">
        <v>123</v>
      </c>
      <c r="BQ10" t="s">
        <v>76</v>
      </c>
    </row>
    <row r="11" spans="1:78" x14ac:dyDescent="0.3">
      <c r="A11" t="s">
        <v>124</v>
      </c>
      <c r="B11">
        <v>8890303</v>
      </c>
      <c r="C11" t="s">
        <v>125</v>
      </c>
      <c r="D11" t="s">
        <v>110</v>
      </c>
      <c r="E11" s="4" t="s">
        <v>68</v>
      </c>
      <c r="F11" s="6">
        <v>5.5925925925925928E-2</v>
      </c>
      <c r="G11" s="7" t="s">
        <v>126</v>
      </c>
      <c r="H11" s="8" t="s">
        <v>127</v>
      </c>
      <c r="L11" s="7"/>
      <c r="AP11" s="7"/>
    </row>
    <row r="12" spans="1:78" x14ac:dyDescent="0.3">
      <c r="A12" t="s">
        <v>128</v>
      </c>
      <c r="B12">
        <v>1890308</v>
      </c>
      <c r="C12" t="s">
        <v>74</v>
      </c>
      <c r="D12" t="s">
        <v>83</v>
      </c>
      <c r="E12" s="4" t="s">
        <v>68</v>
      </c>
      <c r="F12" s="6">
        <v>4.9247685185185186E-2</v>
      </c>
      <c r="G12" t="s">
        <v>129</v>
      </c>
      <c r="H12" s="8" t="s">
        <v>130</v>
      </c>
      <c r="AA12" s="7"/>
      <c r="AF12" s="7"/>
      <c r="AK12" s="7"/>
    </row>
    <row r="13" spans="1:78" x14ac:dyDescent="0.3">
      <c r="A13" t="s">
        <v>77</v>
      </c>
      <c r="B13">
        <v>8890301</v>
      </c>
      <c r="C13" t="s">
        <v>78</v>
      </c>
      <c r="D13" t="s">
        <v>107</v>
      </c>
      <c r="E13" s="4" t="s">
        <v>68</v>
      </c>
      <c r="F13" s="6">
        <v>4.5243055555555557E-2</v>
      </c>
      <c r="G13" t="s">
        <v>129</v>
      </c>
      <c r="H13" s="8" t="s">
        <v>131</v>
      </c>
      <c r="AA13" s="7"/>
      <c r="AK13" s="5"/>
    </row>
    <row r="14" spans="1:78" x14ac:dyDescent="0.3">
      <c r="A14" t="s">
        <v>80</v>
      </c>
      <c r="B14">
        <v>8280173</v>
      </c>
      <c r="C14" t="s">
        <v>81</v>
      </c>
      <c r="D14" t="s">
        <v>107</v>
      </c>
      <c r="E14" s="4" t="s">
        <v>68</v>
      </c>
      <c r="F14" s="6">
        <v>3.2881944444444443E-2</v>
      </c>
      <c r="G14" t="s">
        <v>132</v>
      </c>
      <c r="H14" s="8" t="s">
        <v>133</v>
      </c>
      <c r="I14" t="s">
        <v>107</v>
      </c>
      <c r="J14" s="4" t="s">
        <v>68</v>
      </c>
      <c r="K14" s="6">
        <v>5.7604166666666672E-2</v>
      </c>
      <c r="L14" t="s">
        <v>134</v>
      </c>
      <c r="M14" s="8" t="s">
        <v>135</v>
      </c>
      <c r="N14" t="s">
        <v>71</v>
      </c>
      <c r="O14" s="4" t="s">
        <v>68</v>
      </c>
      <c r="P14" s="6" t="s">
        <v>68</v>
      </c>
      <c r="Q14" s="8" t="s">
        <v>104</v>
      </c>
      <c r="AF14" s="7"/>
      <c r="AH14" t="s">
        <v>71</v>
      </c>
      <c r="AI14" s="4" t="s">
        <v>68</v>
      </c>
      <c r="AJ14" s="6" t="s">
        <v>68</v>
      </c>
      <c r="AK14" t="s">
        <v>104</v>
      </c>
      <c r="AM14" t="s">
        <v>83</v>
      </c>
      <c r="AN14" s="4" t="s">
        <v>68</v>
      </c>
      <c r="AO14" s="6" t="s">
        <v>68</v>
      </c>
      <c r="AP14" t="s">
        <v>104</v>
      </c>
      <c r="AR14" t="s">
        <v>71</v>
      </c>
      <c r="AS14" s="4" t="s">
        <v>68</v>
      </c>
      <c r="AT14" s="6" t="s">
        <v>68</v>
      </c>
      <c r="AU14" t="s">
        <v>104</v>
      </c>
      <c r="AV14" s="8" t="s">
        <v>69</v>
      </c>
    </row>
    <row r="15" spans="1:78" x14ac:dyDescent="0.3">
      <c r="A15" t="s">
        <v>352</v>
      </c>
      <c r="B15">
        <v>8212535</v>
      </c>
      <c r="C15" t="s">
        <v>351</v>
      </c>
      <c r="AF15" s="7"/>
      <c r="AH15" t="s">
        <v>103</v>
      </c>
      <c r="AI15" s="4" t="s">
        <v>68</v>
      </c>
      <c r="AJ15" s="6" t="s">
        <v>68</v>
      </c>
      <c r="AK15" t="s">
        <v>104</v>
      </c>
      <c r="AM15" t="s">
        <v>100</v>
      </c>
      <c r="AN15" s="4" t="s">
        <v>68</v>
      </c>
      <c r="AO15" s="6" t="s">
        <v>68</v>
      </c>
      <c r="AP15" t="s">
        <v>104</v>
      </c>
      <c r="AR15" t="s">
        <v>513</v>
      </c>
      <c r="AS15" s="4" t="s">
        <v>68</v>
      </c>
      <c r="AT15" s="6" t="s">
        <v>68</v>
      </c>
      <c r="AU15" t="s">
        <v>104</v>
      </c>
      <c r="AV15" s="8" t="s">
        <v>69</v>
      </c>
    </row>
    <row r="16" spans="1:78" x14ac:dyDescent="0.3">
      <c r="A16" t="s">
        <v>82</v>
      </c>
      <c r="B16">
        <v>8005961</v>
      </c>
      <c r="C16" t="s">
        <v>74</v>
      </c>
      <c r="D16" t="s">
        <v>107</v>
      </c>
      <c r="E16" s="4" t="s">
        <v>68</v>
      </c>
      <c r="F16" s="6">
        <v>4.4259259259259255E-2</v>
      </c>
      <c r="G16" t="s">
        <v>126</v>
      </c>
      <c r="H16" s="8" t="s">
        <v>136</v>
      </c>
      <c r="I16" t="s">
        <v>107</v>
      </c>
      <c r="J16" s="4" t="s">
        <v>68</v>
      </c>
      <c r="K16" s="6">
        <v>7.2129629629629641E-2</v>
      </c>
      <c r="L16" t="s">
        <v>137</v>
      </c>
      <c r="M16" s="8" t="s">
        <v>138</v>
      </c>
      <c r="N16" t="s">
        <v>72</v>
      </c>
      <c r="O16" s="4" t="s">
        <v>68</v>
      </c>
      <c r="P16" s="6" t="s">
        <v>68</v>
      </c>
      <c r="Q16" s="8" t="s">
        <v>104</v>
      </c>
      <c r="R16" s="8" t="s">
        <v>69</v>
      </c>
      <c r="X16" t="s">
        <v>70</v>
      </c>
      <c r="Y16" s="4" t="s">
        <v>68</v>
      </c>
      <c r="Z16" s="6" t="s">
        <v>68</v>
      </c>
      <c r="AA16" t="s">
        <v>104</v>
      </c>
      <c r="AB16" s="8" t="s">
        <v>69</v>
      </c>
      <c r="AC16" t="s">
        <v>107</v>
      </c>
      <c r="AD16" s="4" t="s">
        <v>68</v>
      </c>
      <c r="AE16" s="6" t="s">
        <v>68</v>
      </c>
      <c r="AF16" s="7" t="s">
        <v>104</v>
      </c>
      <c r="AG16" s="8" t="s">
        <v>69</v>
      </c>
      <c r="AH16" t="s">
        <v>72</v>
      </c>
      <c r="AI16" s="4" t="s">
        <v>68</v>
      </c>
      <c r="AJ16" s="6" t="s">
        <v>68</v>
      </c>
      <c r="AK16" t="s">
        <v>104</v>
      </c>
      <c r="AL16" s="8" t="s">
        <v>69</v>
      </c>
      <c r="AM16" t="s">
        <v>110</v>
      </c>
      <c r="AN16" s="4" t="s">
        <v>68</v>
      </c>
      <c r="AO16" s="6" t="s">
        <v>68</v>
      </c>
      <c r="AP16" t="s">
        <v>104</v>
      </c>
      <c r="AQ16" s="8" t="s">
        <v>69</v>
      </c>
      <c r="AR16" t="s">
        <v>72</v>
      </c>
      <c r="AS16" s="4" t="s">
        <v>68</v>
      </c>
      <c r="AT16" s="6" t="s">
        <v>68</v>
      </c>
      <c r="AU16" t="s">
        <v>104</v>
      </c>
      <c r="AV16" s="8" t="s">
        <v>69</v>
      </c>
    </row>
    <row r="17" spans="1:13" x14ac:dyDescent="0.3">
      <c r="A17" t="s">
        <v>139</v>
      </c>
      <c r="B17">
        <v>1890304</v>
      </c>
      <c r="C17" t="s">
        <v>140</v>
      </c>
      <c r="D17" t="s">
        <v>83</v>
      </c>
      <c r="E17" s="4" t="s">
        <v>68</v>
      </c>
      <c r="F17" s="6">
        <v>3.90625E-2</v>
      </c>
      <c r="G17" t="s">
        <v>141</v>
      </c>
      <c r="H17" s="8" t="s">
        <v>142</v>
      </c>
    </row>
    <row r="18" spans="1:13" x14ac:dyDescent="0.3">
      <c r="B18" s="1" t="s">
        <v>69</v>
      </c>
    </row>
    <row r="19" spans="1:13" x14ac:dyDescent="0.3">
      <c r="B19" s="1" t="s">
        <v>69</v>
      </c>
    </row>
    <row r="20" spans="1:13" x14ac:dyDescent="0.3">
      <c r="A20" t="s">
        <v>143</v>
      </c>
      <c r="B20">
        <v>7590114</v>
      </c>
      <c r="C20" t="s">
        <v>144</v>
      </c>
      <c r="D20" t="s">
        <v>145</v>
      </c>
      <c r="E20" s="4" t="s">
        <v>68</v>
      </c>
      <c r="F20" s="6">
        <v>6.7557870370370365E-2</v>
      </c>
      <c r="G20" t="s">
        <v>146</v>
      </c>
      <c r="H20" s="8" t="s">
        <v>147</v>
      </c>
      <c r="I20" t="s">
        <v>145</v>
      </c>
      <c r="J20" s="4" t="s">
        <v>68</v>
      </c>
      <c r="K20" s="6">
        <v>6.4189814814814811E-2</v>
      </c>
      <c r="L20" t="s">
        <v>148</v>
      </c>
      <c r="M20" s="8" t="s">
        <v>149</v>
      </c>
    </row>
    <row r="26" spans="1:13" ht="13.2" customHeight="1" x14ac:dyDescent="0.3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boautoComplete">
          <controlPr defaultSize="0" autoLine="0" r:id="rId5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1</xdr:col>
                <xdr:colOff>320040</xdr:colOff>
                <xdr:row>15</xdr:row>
                <xdr:rowOff>53340</xdr:rowOff>
              </to>
            </anchor>
          </controlPr>
        </control>
      </mc:Choice>
      <mc:Fallback>
        <control shapeId="2049" r:id="rId4" name="CboautoComple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ECC3-BE76-46A9-81A7-CC9CEDCBD64C}">
  <sheetPr codeName="Feuil3"/>
  <dimension ref="C2:E4"/>
  <sheetViews>
    <sheetView workbookViewId="0">
      <selection activeCell="C7" sqref="C6:C7"/>
    </sheetView>
  </sheetViews>
  <sheetFormatPr baseColWidth="10" defaultRowHeight="14.4" x14ac:dyDescent="0.3"/>
  <cols>
    <col min="3" max="3" width="11.5546875" style="2"/>
  </cols>
  <sheetData>
    <row r="2" spans="3:5" x14ac:dyDescent="0.3">
      <c r="C2" s="2">
        <v>1.1759259259259259E-2</v>
      </c>
      <c r="E2" s="3"/>
    </row>
    <row r="3" spans="3:5" x14ac:dyDescent="0.3">
      <c r="C3" s="2">
        <v>8.2754629629629619E-3</v>
      </c>
    </row>
    <row r="4" spans="3:5" x14ac:dyDescent="0.3">
      <c r="C4" s="2">
        <f>MOD(C2-C3,1)</f>
        <v>3.4837962962962973E-3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1F138-C595-447A-A79A-EC42CA8E4E07}">
  <sheetPr codeName="Feuil2"/>
  <dimension ref="A1:BY15"/>
  <sheetViews>
    <sheetView workbookViewId="0">
      <selection activeCell="M16" sqref="M16"/>
    </sheetView>
  </sheetViews>
  <sheetFormatPr baseColWidth="10" defaultRowHeight="14.4" x14ac:dyDescent="0.3"/>
  <cols>
    <col min="4" max="4" width="6.21875" customWidth="1"/>
    <col min="5" max="5" width="6.109375" bestFit="1" customWidth="1"/>
    <col min="6" max="6" width="6" bestFit="1" customWidth="1"/>
    <col min="7" max="7" width="5.77734375" style="8" bestFit="1" customWidth="1"/>
    <col min="8" max="8" width="6.5546875" bestFit="1" customWidth="1"/>
    <col min="9" max="9" width="6.6640625" customWidth="1"/>
    <col min="10" max="10" width="6.109375" bestFit="1" customWidth="1"/>
    <col min="11" max="11" width="8.109375" bestFit="1" customWidth="1"/>
    <col min="12" max="12" width="5.77734375" style="8" bestFit="1" customWidth="1"/>
    <col min="13" max="13" width="8.109375" bestFit="1" customWidth="1"/>
    <col min="14" max="14" width="6.6640625" customWidth="1"/>
    <col min="15" max="16" width="8.109375" bestFit="1" customWidth="1"/>
    <col min="17" max="17" width="5.77734375" style="8" bestFit="1" customWidth="1"/>
    <col min="18" max="18" width="6.5546875" bestFit="1" customWidth="1"/>
    <col min="19" max="19" width="11.6640625" customWidth="1"/>
    <col min="20" max="20" width="6.109375" bestFit="1" customWidth="1"/>
    <col min="21" max="21" width="8.109375" bestFit="1" customWidth="1"/>
    <col min="22" max="22" width="5.77734375" style="8" bestFit="1" customWidth="1"/>
    <col min="23" max="23" width="6.5546875" bestFit="1" customWidth="1"/>
    <col min="24" max="24" width="3.21875" customWidth="1"/>
    <col min="25" max="25" width="6.109375" bestFit="1" customWidth="1"/>
    <col min="26" max="26" width="8.109375" bestFit="1" customWidth="1"/>
    <col min="27" max="27" width="5.77734375" style="8" bestFit="1" customWidth="1"/>
    <col min="28" max="28" width="6.5546875" bestFit="1" customWidth="1"/>
    <col min="29" max="29" width="7.88671875" customWidth="1"/>
    <col min="30" max="30" width="6.109375" bestFit="1" customWidth="1"/>
    <col min="31" max="31" width="8.109375" bestFit="1" customWidth="1"/>
    <col min="32" max="32" width="5.77734375" style="8" bestFit="1" customWidth="1"/>
    <col min="33" max="33" width="6.5546875" bestFit="1" customWidth="1"/>
    <col min="34" max="34" width="10.109375" customWidth="1"/>
    <col min="35" max="35" width="6.109375" bestFit="1" customWidth="1"/>
    <col min="36" max="36" width="8.109375" bestFit="1" customWidth="1"/>
    <col min="37" max="37" width="6.33203125" style="8" bestFit="1" customWidth="1"/>
    <col min="39" max="39" width="11.109375" customWidth="1"/>
    <col min="41" max="41" width="11.44140625" customWidth="1"/>
    <col min="42" max="42" width="7.6640625" style="8" customWidth="1"/>
    <col min="43" max="43" width="5.5546875" bestFit="1" customWidth="1"/>
    <col min="44" max="44" width="6.21875" bestFit="1" customWidth="1"/>
    <col min="45" max="45" width="6.109375" bestFit="1" customWidth="1"/>
    <col min="46" max="46" width="6" bestFit="1" customWidth="1"/>
    <col min="47" max="47" width="4.5546875" style="8" bestFit="1" customWidth="1"/>
    <col min="48" max="48" width="5.21875" bestFit="1" customWidth="1"/>
    <col min="49" max="49" width="7.21875" bestFit="1" customWidth="1"/>
    <col min="50" max="50" width="7.109375" bestFit="1" customWidth="1"/>
    <col min="51" max="51" width="7" bestFit="1" customWidth="1"/>
    <col min="52" max="52" width="5.5546875" style="8" bestFit="1" customWidth="1"/>
    <col min="53" max="53" width="5.21875" bestFit="1" customWidth="1"/>
    <col min="54" max="54" width="7.21875" bestFit="1" customWidth="1"/>
    <col min="55" max="55" width="7.109375" bestFit="1" customWidth="1"/>
    <col min="56" max="56" width="7" bestFit="1" customWidth="1"/>
    <col min="57" max="57" width="5.5546875" style="8" bestFit="1" customWidth="1"/>
    <col min="58" max="58" width="5.21875" bestFit="1" customWidth="1"/>
    <col min="59" max="59" width="7.21875" bestFit="1" customWidth="1"/>
    <col min="60" max="60" width="7.109375" bestFit="1" customWidth="1"/>
    <col min="61" max="61" width="6.44140625" bestFit="1" customWidth="1"/>
    <col min="62" max="62" width="5.5546875" style="8" bestFit="1" customWidth="1"/>
    <col min="63" max="63" width="5.21875" bestFit="1" customWidth="1"/>
    <col min="64" max="64" width="7.21875" bestFit="1" customWidth="1"/>
    <col min="65" max="65" width="7.109375" bestFit="1" customWidth="1"/>
    <col min="66" max="66" width="7" bestFit="1" customWidth="1"/>
    <col min="67" max="67" width="5.5546875" style="8" bestFit="1" customWidth="1"/>
    <col min="68" max="68" width="5.21875" bestFit="1" customWidth="1"/>
    <col min="69" max="69" width="7.21875" bestFit="1" customWidth="1"/>
    <col min="70" max="70" width="7.109375" bestFit="1" customWidth="1"/>
    <col min="71" max="71" width="7" bestFit="1" customWidth="1"/>
    <col min="72" max="72" width="5.5546875" style="8" bestFit="1" customWidth="1"/>
    <col min="73" max="73" width="5.21875" bestFit="1" customWidth="1"/>
    <col min="74" max="74" width="7.21875" bestFit="1" customWidth="1"/>
    <col min="75" max="75" width="7.109375" bestFit="1" customWidth="1"/>
    <col min="76" max="76" width="7" bestFit="1" customWidth="1"/>
    <col min="77" max="77" width="5.5546875" style="8" bestFit="1" customWidth="1"/>
    <col min="78" max="78" width="5.21875" bestFit="1" customWidth="1"/>
  </cols>
  <sheetData>
    <row r="1" spans="1:43" x14ac:dyDescent="0.3">
      <c r="A1" t="s">
        <v>0</v>
      </c>
      <c r="D1" t="s">
        <v>150</v>
      </c>
      <c r="I1" t="s">
        <v>234</v>
      </c>
      <c r="N1" t="s">
        <v>151</v>
      </c>
      <c r="S1" t="s">
        <v>152</v>
      </c>
      <c r="X1" t="s">
        <v>153</v>
      </c>
      <c r="AC1" t="s">
        <v>154</v>
      </c>
      <c r="AH1" t="s">
        <v>155</v>
      </c>
      <c r="AM1" t="s">
        <v>156</v>
      </c>
    </row>
    <row r="2" spans="1:43" x14ac:dyDescent="0.3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s="8" t="s">
        <v>9</v>
      </c>
      <c r="H2" t="s">
        <v>10</v>
      </c>
      <c r="I2" t="s">
        <v>11</v>
      </c>
      <c r="J2" t="s">
        <v>12</v>
      </c>
      <c r="K2" t="s">
        <v>13</v>
      </c>
      <c r="L2" s="8" t="s">
        <v>14</v>
      </c>
      <c r="M2" t="s">
        <v>10</v>
      </c>
      <c r="N2" t="s">
        <v>15</v>
      </c>
      <c r="O2" t="s">
        <v>16</v>
      </c>
      <c r="P2" t="s">
        <v>17</v>
      </c>
      <c r="Q2" s="8" t="s">
        <v>18</v>
      </c>
      <c r="R2" t="s">
        <v>10</v>
      </c>
      <c r="S2" t="s">
        <v>19</v>
      </c>
      <c r="T2" t="s">
        <v>20</v>
      </c>
      <c r="U2" t="s">
        <v>21</v>
      </c>
      <c r="V2" s="8" t="s">
        <v>22</v>
      </c>
      <c r="W2" t="s">
        <v>10</v>
      </c>
      <c r="X2" t="s">
        <v>23</v>
      </c>
      <c r="Y2" t="s">
        <v>24</v>
      </c>
      <c r="Z2" t="s">
        <v>25</v>
      </c>
      <c r="AA2" s="8" t="s">
        <v>26</v>
      </c>
      <c r="AB2" t="s">
        <v>10</v>
      </c>
      <c r="AC2" t="s">
        <v>27</v>
      </c>
      <c r="AD2" t="s">
        <v>28</v>
      </c>
      <c r="AE2" t="s">
        <v>29</v>
      </c>
      <c r="AF2" s="8" t="s">
        <v>30</v>
      </c>
      <c r="AG2" t="s">
        <v>10</v>
      </c>
      <c r="AH2" t="s">
        <v>31</v>
      </c>
      <c r="AI2" t="s">
        <v>32</v>
      </c>
      <c r="AJ2" t="s">
        <v>33</v>
      </c>
      <c r="AK2" s="8" t="s">
        <v>34</v>
      </c>
      <c r="AL2" t="s">
        <v>10</v>
      </c>
      <c r="AM2" t="s">
        <v>35</v>
      </c>
      <c r="AN2" t="s">
        <v>36</v>
      </c>
      <c r="AO2" t="s">
        <v>37</v>
      </c>
      <c r="AP2" s="8" t="s">
        <v>38</v>
      </c>
      <c r="AQ2" t="s">
        <v>10</v>
      </c>
    </row>
    <row r="3" spans="1:43" x14ac:dyDescent="0.3">
      <c r="A3" t="s">
        <v>157</v>
      </c>
      <c r="B3">
        <v>8534679</v>
      </c>
      <c r="C3" t="s">
        <v>67</v>
      </c>
      <c r="D3" t="s">
        <v>158</v>
      </c>
      <c r="E3" t="s">
        <v>68</v>
      </c>
      <c r="F3" s="4">
        <v>0.88055555555555554</v>
      </c>
      <c r="G3" s="8" t="s">
        <v>217</v>
      </c>
      <c r="H3" t="s">
        <v>159</v>
      </c>
      <c r="I3" t="s">
        <v>160</v>
      </c>
      <c r="J3" t="s">
        <v>68</v>
      </c>
      <c r="K3" s="3">
        <v>4.4710648148148152E-2</v>
      </c>
      <c r="L3" s="8" t="s">
        <v>161</v>
      </c>
      <c r="M3" t="s">
        <v>162</v>
      </c>
    </row>
    <row r="4" spans="1:43" x14ac:dyDescent="0.3">
      <c r="A4" t="s">
        <v>163</v>
      </c>
      <c r="B4">
        <v>8534692</v>
      </c>
      <c r="C4" t="s">
        <v>164</v>
      </c>
      <c r="D4" t="s">
        <v>70</v>
      </c>
      <c r="E4" t="s">
        <v>68</v>
      </c>
      <c r="F4" s="4">
        <v>0.93611111111111101</v>
      </c>
      <c r="G4" s="8" t="s">
        <v>165</v>
      </c>
      <c r="H4" t="s">
        <v>166</v>
      </c>
      <c r="I4" t="s">
        <v>71</v>
      </c>
      <c r="J4" t="s">
        <v>68</v>
      </c>
      <c r="K4" s="3">
        <v>9.6701388888888892E-2</v>
      </c>
      <c r="L4" s="8" t="s">
        <v>167</v>
      </c>
      <c r="M4" t="s">
        <v>168</v>
      </c>
    </row>
    <row r="5" spans="1:43" x14ac:dyDescent="0.3">
      <c r="A5" t="s">
        <v>169</v>
      </c>
      <c r="B5">
        <v>2158061</v>
      </c>
      <c r="C5" t="s">
        <v>170</v>
      </c>
      <c r="D5" t="s">
        <v>171</v>
      </c>
      <c r="E5" t="s">
        <v>68</v>
      </c>
      <c r="F5" s="4">
        <v>0.37638888888888888</v>
      </c>
      <c r="G5" s="8" t="s">
        <v>218</v>
      </c>
      <c r="H5" s="4">
        <v>0</v>
      </c>
      <c r="I5" t="s">
        <v>158</v>
      </c>
      <c r="J5" t="s">
        <v>68</v>
      </c>
      <c r="K5" s="6">
        <v>1.7256944444444444</v>
      </c>
      <c r="L5" s="8" t="s">
        <v>172</v>
      </c>
      <c r="M5" t="s">
        <v>173</v>
      </c>
    </row>
    <row r="6" spans="1:43" x14ac:dyDescent="0.3">
      <c r="A6" t="s">
        <v>174</v>
      </c>
      <c r="B6">
        <v>8890305</v>
      </c>
      <c r="C6" t="s">
        <v>175</v>
      </c>
      <c r="X6" t="s">
        <v>72</v>
      </c>
      <c r="Y6" t="s">
        <v>68</v>
      </c>
      <c r="Z6" t="s">
        <v>176</v>
      </c>
      <c r="AA6" s="8" t="s">
        <v>177</v>
      </c>
      <c r="AB6" t="s">
        <v>177</v>
      </c>
      <c r="AC6" t="s">
        <v>178</v>
      </c>
      <c r="AD6" t="s">
        <v>68</v>
      </c>
      <c r="AE6" s="6">
        <v>1.8361111111111112</v>
      </c>
      <c r="AF6" s="8" t="s">
        <v>177</v>
      </c>
      <c r="AG6" t="s">
        <v>177</v>
      </c>
    </row>
    <row r="7" spans="1:43" x14ac:dyDescent="0.3">
      <c r="A7" t="s">
        <v>73</v>
      </c>
      <c r="B7">
        <v>8008903</v>
      </c>
      <c r="C7" t="s">
        <v>74</v>
      </c>
      <c r="X7" t="s">
        <v>75</v>
      </c>
      <c r="Y7" t="s">
        <v>68</v>
      </c>
      <c r="Z7" t="s">
        <v>176</v>
      </c>
      <c r="AA7" s="8" t="s">
        <v>177</v>
      </c>
      <c r="AB7" t="s">
        <v>177</v>
      </c>
      <c r="AC7" t="s">
        <v>179</v>
      </c>
      <c r="AD7" t="s">
        <v>68</v>
      </c>
      <c r="AE7" s="6">
        <v>1.3187499999999999</v>
      </c>
      <c r="AF7" s="8" t="s">
        <v>177</v>
      </c>
      <c r="AG7" t="s">
        <v>177</v>
      </c>
      <c r="AH7" t="s">
        <v>76</v>
      </c>
      <c r="AI7" t="s">
        <v>68</v>
      </c>
      <c r="AJ7" s="3">
        <v>5.8622685185185187E-2</v>
      </c>
      <c r="AK7" s="8" t="s">
        <v>180</v>
      </c>
      <c r="AL7" t="s">
        <v>181</v>
      </c>
    </row>
    <row r="8" spans="1:43" x14ac:dyDescent="0.3">
      <c r="A8" t="s">
        <v>182</v>
      </c>
      <c r="B8">
        <v>2158056</v>
      </c>
      <c r="C8" t="s">
        <v>183</v>
      </c>
      <c r="D8" t="s">
        <v>184</v>
      </c>
      <c r="E8" t="s">
        <v>68</v>
      </c>
      <c r="F8" t="s">
        <v>176</v>
      </c>
      <c r="G8" s="8" t="s">
        <v>177</v>
      </c>
      <c r="H8" t="s">
        <v>177</v>
      </c>
      <c r="I8" t="s">
        <v>72</v>
      </c>
      <c r="J8" t="s">
        <v>68</v>
      </c>
      <c r="K8" s="3">
        <v>8.0081018518518524E-2</v>
      </c>
      <c r="L8" s="8" t="s">
        <v>185</v>
      </c>
      <c r="M8" t="s">
        <v>186</v>
      </c>
    </row>
    <row r="9" spans="1:43" x14ac:dyDescent="0.3">
      <c r="A9" t="s">
        <v>77</v>
      </c>
      <c r="B9">
        <v>8890301</v>
      </c>
      <c r="C9" t="s">
        <v>78</v>
      </c>
      <c r="D9" t="s">
        <v>79</v>
      </c>
      <c r="E9" t="s">
        <v>68</v>
      </c>
      <c r="F9" s="4">
        <v>0.85833333333333339</v>
      </c>
      <c r="G9" s="8" t="s">
        <v>220</v>
      </c>
      <c r="H9" t="s">
        <v>187</v>
      </c>
      <c r="I9" t="s">
        <v>79</v>
      </c>
      <c r="J9" t="s">
        <v>68</v>
      </c>
      <c r="K9" s="3">
        <v>8.6284722222222221E-2</v>
      </c>
      <c r="L9" s="8" t="s">
        <v>222</v>
      </c>
      <c r="M9" t="s">
        <v>188</v>
      </c>
    </row>
    <row r="10" spans="1:43" x14ac:dyDescent="0.3">
      <c r="A10" t="s">
        <v>80</v>
      </c>
      <c r="B10">
        <v>8280173</v>
      </c>
      <c r="C10" t="s">
        <v>81</v>
      </c>
      <c r="D10" t="s">
        <v>75</v>
      </c>
      <c r="E10" t="s">
        <v>68</v>
      </c>
      <c r="F10" t="s">
        <v>177</v>
      </c>
      <c r="G10" s="8" t="s">
        <v>221</v>
      </c>
      <c r="H10" t="s">
        <v>189</v>
      </c>
      <c r="I10" t="s">
        <v>70</v>
      </c>
      <c r="J10" t="s">
        <v>68</v>
      </c>
      <c r="K10" s="3">
        <v>5.5844907407407406E-2</v>
      </c>
      <c r="L10" s="8" t="s">
        <v>223</v>
      </c>
      <c r="M10" t="s">
        <v>190</v>
      </c>
    </row>
    <row r="11" spans="1:43" x14ac:dyDescent="0.3">
      <c r="A11" t="s">
        <v>82</v>
      </c>
      <c r="B11">
        <v>8005961</v>
      </c>
      <c r="C11" t="s">
        <v>74</v>
      </c>
      <c r="D11" t="s">
        <v>184</v>
      </c>
      <c r="E11" t="s">
        <v>68</v>
      </c>
      <c r="F11" s="4">
        <v>0.79027777777777775</v>
      </c>
      <c r="G11" s="8" t="s">
        <v>219</v>
      </c>
      <c r="H11" t="s">
        <v>191</v>
      </c>
      <c r="I11" t="s">
        <v>192</v>
      </c>
      <c r="J11" t="s">
        <v>68</v>
      </c>
      <c r="K11" s="6">
        <v>2.0222222222222221</v>
      </c>
      <c r="L11" s="8" t="s">
        <v>224</v>
      </c>
      <c r="M11" t="s">
        <v>193</v>
      </c>
      <c r="N11" t="s">
        <v>76</v>
      </c>
      <c r="O11" s="6" t="s">
        <v>68</v>
      </c>
      <c r="P11" s="3">
        <v>4.1585648148148149E-2</v>
      </c>
      <c r="Q11" s="8" t="s">
        <v>225</v>
      </c>
      <c r="R11" t="s">
        <v>194</v>
      </c>
      <c r="S11" t="s">
        <v>83</v>
      </c>
      <c r="T11" t="s">
        <v>68</v>
      </c>
      <c r="U11" s="3">
        <v>4.898148148148148E-2</v>
      </c>
      <c r="V11" s="8" t="s">
        <v>195</v>
      </c>
      <c r="W11" t="s">
        <v>196</v>
      </c>
      <c r="X11" t="s">
        <v>75</v>
      </c>
      <c r="Y11" t="s">
        <v>68</v>
      </c>
      <c r="Z11" s="3">
        <v>6.1076388888888888E-2</v>
      </c>
      <c r="AA11" s="8" t="s">
        <v>197</v>
      </c>
      <c r="AB11" t="s">
        <v>198</v>
      </c>
      <c r="AC11" t="s">
        <v>199</v>
      </c>
      <c r="AD11" t="s">
        <v>68</v>
      </c>
      <c r="AE11" s="6">
        <v>1.7715277777777778</v>
      </c>
      <c r="AF11" s="8" t="s">
        <v>200</v>
      </c>
      <c r="AG11" t="s">
        <v>201</v>
      </c>
      <c r="AH11" t="s">
        <v>76</v>
      </c>
      <c r="AI11" t="s">
        <v>68</v>
      </c>
      <c r="AJ11" t="s">
        <v>176</v>
      </c>
      <c r="AK11" s="8" t="s">
        <v>177</v>
      </c>
      <c r="AL11" t="s">
        <v>177</v>
      </c>
      <c r="AM11" t="s">
        <v>202</v>
      </c>
      <c r="AN11" t="s">
        <v>68</v>
      </c>
      <c r="AO11" s="3">
        <v>4.5636574074074072E-2</v>
      </c>
      <c r="AP11" s="8" t="s">
        <v>233</v>
      </c>
      <c r="AQ11" t="s">
        <v>203</v>
      </c>
    </row>
    <row r="12" spans="1:43" x14ac:dyDescent="0.3">
      <c r="A12" t="s">
        <v>204</v>
      </c>
      <c r="B12">
        <v>8509002</v>
      </c>
      <c r="C12" t="s">
        <v>175</v>
      </c>
      <c r="X12" t="s">
        <v>72</v>
      </c>
      <c r="Y12" t="s">
        <v>68</v>
      </c>
      <c r="Z12" s="6">
        <v>1.8618055555555555</v>
      </c>
      <c r="AA12" s="8" t="s">
        <v>226</v>
      </c>
      <c r="AB12" t="s">
        <v>205</v>
      </c>
      <c r="AC12" t="s">
        <v>206</v>
      </c>
      <c r="AD12" t="s">
        <v>68</v>
      </c>
      <c r="AE12" s="6">
        <v>1.6152777777777778</v>
      </c>
      <c r="AF12" s="8" t="s">
        <v>228</v>
      </c>
      <c r="AG12" s="10" t="s">
        <v>230</v>
      </c>
      <c r="AH12" t="s">
        <v>207</v>
      </c>
      <c r="AI12" t="s">
        <v>68</v>
      </c>
      <c r="AJ12" s="3">
        <v>5.6099537037037038E-2</v>
      </c>
      <c r="AK12" s="8" t="s">
        <v>232</v>
      </c>
      <c r="AL12" t="s">
        <v>208</v>
      </c>
    </row>
    <row r="13" spans="1:43" x14ac:dyDescent="0.3">
      <c r="A13" t="s">
        <v>209</v>
      </c>
      <c r="B13">
        <v>8890302</v>
      </c>
      <c r="C13" t="s">
        <v>183</v>
      </c>
      <c r="X13" t="s">
        <v>70</v>
      </c>
      <c r="Y13" t="s">
        <v>68</v>
      </c>
      <c r="Z13" s="6">
        <v>1.8444444444444443</v>
      </c>
      <c r="AA13" s="8" t="s">
        <v>227</v>
      </c>
      <c r="AB13" t="s">
        <v>210</v>
      </c>
      <c r="AH13" t="s">
        <v>211</v>
      </c>
      <c r="AI13" t="s">
        <v>68</v>
      </c>
      <c r="AJ13" s="3">
        <v>7.7002314814814815E-2</v>
      </c>
      <c r="AK13" s="8" t="s">
        <v>231</v>
      </c>
      <c r="AL13" t="s">
        <v>212</v>
      </c>
    </row>
    <row r="14" spans="1:43" x14ac:dyDescent="0.3">
      <c r="A14" t="s">
        <v>213</v>
      </c>
      <c r="B14" t="s">
        <v>177</v>
      </c>
      <c r="C14" t="s">
        <v>74</v>
      </c>
      <c r="AC14" t="s">
        <v>74</v>
      </c>
      <c r="AD14" t="s">
        <v>68</v>
      </c>
      <c r="AE14" s="3">
        <v>5.1504629629629629E-2</v>
      </c>
      <c r="AF14" s="8" t="s">
        <v>229</v>
      </c>
      <c r="AG14" t="s">
        <v>214</v>
      </c>
    </row>
    <row r="15" spans="1:43" x14ac:dyDescent="0.3">
      <c r="A15" t="s">
        <v>215</v>
      </c>
      <c r="B15" t="s">
        <v>177</v>
      </c>
      <c r="C15" t="s">
        <v>175</v>
      </c>
      <c r="AC15" t="s">
        <v>175</v>
      </c>
      <c r="AD15" t="s">
        <v>68</v>
      </c>
      <c r="AE15" s="3">
        <v>5.752314814814815E-2</v>
      </c>
      <c r="AF15" s="8" t="s">
        <v>226</v>
      </c>
      <c r="AG15" t="s">
        <v>216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5A54F-5057-4CFE-AA3F-3CAA04B056CA}">
  <sheetPr codeName="Feuil5"/>
  <dimension ref="A1:BZ25"/>
  <sheetViews>
    <sheetView workbookViewId="0">
      <selection activeCell="I15" sqref="I15"/>
    </sheetView>
  </sheetViews>
  <sheetFormatPr baseColWidth="10" defaultColWidth="9.109375" defaultRowHeight="14.4" x14ac:dyDescent="0.3"/>
  <cols>
    <col min="1" max="1" width="18.21875" bestFit="1" customWidth="1"/>
    <col min="2" max="2" width="8" bestFit="1" customWidth="1"/>
    <col min="3" max="3" width="4.33203125" bestFit="1" customWidth="1"/>
    <col min="4" max="4" width="20.5546875" bestFit="1" customWidth="1"/>
    <col min="5" max="5" width="6.109375" style="4" bestFit="1" customWidth="1"/>
    <col min="6" max="6" width="7.109375" style="6" bestFit="1" customWidth="1"/>
    <col min="7" max="7" width="5.77734375" bestFit="1" customWidth="1"/>
    <col min="8" max="8" width="8.109375" style="8" bestFit="1" customWidth="1"/>
    <col min="9" max="9" width="21.21875" bestFit="1" customWidth="1"/>
    <col min="10" max="10" width="6.109375" style="4" bestFit="1" customWidth="1"/>
    <col min="11" max="11" width="7.109375" style="6" bestFit="1" customWidth="1"/>
    <col min="12" max="12" width="5.77734375" bestFit="1" customWidth="1"/>
    <col min="13" max="13" width="6.5546875" style="8" bestFit="1" customWidth="1"/>
    <col min="14" max="14" width="30.21875" bestFit="1" customWidth="1"/>
    <col min="15" max="15" width="6.109375" style="4" bestFit="1" customWidth="1"/>
    <col min="16" max="16" width="6" style="6" bestFit="1" customWidth="1"/>
    <col min="17" max="17" width="4.5546875" style="8" bestFit="1" customWidth="1"/>
    <col min="18" max="18" width="5.21875" style="8" bestFit="1" customWidth="1"/>
    <col min="19" max="19" width="28.77734375" bestFit="1" customWidth="1"/>
    <col min="20" max="20" width="6.109375" style="4" bestFit="1" customWidth="1"/>
    <col min="21" max="21" width="7.109375" style="6" bestFit="1" customWidth="1"/>
    <col min="22" max="22" width="6.5546875" style="8" bestFit="1" customWidth="1"/>
    <col min="23" max="23" width="5.21875" style="8" bestFit="1" customWidth="1"/>
    <col min="24" max="24" width="26.33203125" bestFit="1" customWidth="1"/>
    <col min="25" max="25" width="6.109375" style="4" bestFit="1" customWidth="1"/>
    <col min="26" max="26" width="6" style="6" bestFit="1" customWidth="1"/>
    <col min="27" max="27" width="4.5546875" bestFit="1" customWidth="1"/>
    <col min="28" max="28" width="5.21875" style="8" bestFit="1" customWidth="1"/>
    <col min="29" max="29" width="27.77734375" bestFit="1" customWidth="1"/>
    <col min="30" max="30" width="6.109375" style="4" bestFit="1" customWidth="1"/>
    <col min="31" max="31" width="6" style="6" bestFit="1" customWidth="1"/>
    <col min="32" max="32" width="4.5546875" bestFit="1" customWidth="1"/>
    <col min="33" max="33" width="5.21875" style="8" bestFit="1" customWidth="1"/>
    <col min="34" max="34" width="26.88671875" bestFit="1" customWidth="1"/>
    <col min="35" max="35" width="6.109375" style="4" bestFit="1" customWidth="1"/>
    <col min="36" max="36" width="6" style="6" bestFit="1" customWidth="1"/>
    <col min="37" max="37" width="4.5546875" bestFit="1" customWidth="1"/>
    <col min="38" max="38" width="5.21875" style="8" bestFit="1" customWidth="1"/>
    <col min="39" max="39" width="24.44140625" bestFit="1" customWidth="1"/>
    <col min="40" max="40" width="6.109375" style="4" bestFit="1" customWidth="1"/>
    <col min="41" max="41" width="6" style="6" bestFit="1" customWidth="1"/>
    <col min="42" max="42" width="4.5546875" bestFit="1" customWidth="1"/>
    <col min="43" max="43" width="5.21875" style="8" bestFit="1" customWidth="1"/>
    <col min="44" max="44" width="38.21875" bestFit="1" customWidth="1"/>
    <col min="45" max="45" width="6.109375" style="4" bestFit="1" customWidth="1"/>
    <col min="46" max="46" width="6" style="6" bestFit="1" customWidth="1"/>
    <col min="47" max="47" width="4.5546875" bestFit="1" customWidth="1"/>
    <col min="48" max="48" width="5.21875" style="8" bestFit="1" customWidth="1"/>
    <col min="49" max="49" width="29.88671875" bestFit="1" customWidth="1"/>
    <col min="50" max="50" width="7.109375" style="4" bestFit="1" customWidth="1"/>
    <col min="51" max="51" width="7" style="6" bestFit="1" customWidth="1"/>
    <col min="52" max="52" width="5.5546875" bestFit="1" customWidth="1"/>
    <col min="53" max="53" width="5.21875" style="8" bestFit="1" customWidth="1"/>
    <col min="54" max="54" width="35.6640625" bestFit="1" customWidth="1"/>
    <col min="55" max="55" width="7.109375" style="4" bestFit="1" customWidth="1"/>
    <col min="56" max="56" width="7" style="6" bestFit="1" customWidth="1"/>
    <col min="57" max="57" width="5.5546875" bestFit="1" customWidth="1"/>
    <col min="58" max="58" width="5.21875" style="8" bestFit="1" customWidth="1"/>
    <col min="59" max="59" width="28" bestFit="1" customWidth="1"/>
    <col min="60" max="60" width="7.109375" style="4" bestFit="1" customWidth="1"/>
    <col min="61" max="61" width="6.44140625" style="6" bestFit="1" customWidth="1"/>
    <col min="62" max="62" width="5.5546875" bestFit="1" customWidth="1"/>
    <col min="63" max="63" width="5.21875" style="8" bestFit="1" customWidth="1"/>
    <col min="64" max="64" width="24.44140625" bestFit="1" customWidth="1"/>
    <col min="65" max="65" width="7.109375" style="4" bestFit="1" customWidth="1"/>
    <col min="66" max="66" width="7" style="6" bestFit="1" customWidth="1"/>
    <col min="67" max="67" width="5.5546875" bestFit="1" customWidth="1"/>
    <col min="68" max="68" width="5.21875" style="8" bestFit="1" customWidth="1"/>
    <col min="69" max="69" width="24.33203125" bestFit="1" customWidth="1"/>
    <col min="70" max="70" width="7.109375" style="4" bestFit="1" customWidth="1"/>
    <col min="71" max="71" width="7" style="6" bestFit="1" customWidth="1"/>
    <col min="72" max="72" width="5.5546875" bestFit="1" customWidth="1"/>
    <col min="73" max="73" width="5.21875" style="8" bestFit="1" customWidth="1"/>
    <col min="74" max="74" width="7.21875" bestFit="1" customWidth="1"/>
    <col min="75" max="75" width="7.109375" style="4" bestFit="1" customWidth="1"/>
    <col min="76" max="76" width="7" style="6" bestFit="1" customWidth="1"/>
    <col min="77" max="77" width="5.5546875" bestFit="1" customWidth="1"/>
    <col min="78" max="78" width="5.21875" style="8" bestFit="1" customWidth="1"/>
  </cols>
  <sheetData>
    <row r="1" spans="1:78" x14ac:dyDescent="0.3">
      <c r="A1" t="s">
        <v>0</v>
      </c>
      <c r="D1" t="s">
        <v>84</v>
      </c>
      <c r="I1" t="s">
        <v>85</v>
      </c>
      <c r="N1" t="s">
        <v>86</v>
      </c>
      <c r="S1" t="s">
        <v>87</v>
      </c>
      <c r="X1" t="s">
        <v>1</v>
      </c>
      <c r="AC1" t="s">
        <v>88</v>
      </c>
      <c r="AH1" t="s">
        <v>89</v>
      </c>
      <c r="AM1" t="s">
        <v>90</v>
      </c>
      <c r="AR1" t="s">
        <v>2</v>
      </c>
      <c r="AW1" t="s">
        <v>91</v>
      </c>
      <c r="BB1" t="s">
        <v>92</v>
      </c>
      <c r="BG1" t="s">
        <v>93</v>
      </c>
      <c r="BL1" t="s">
        <v>94</v>
      </c>
      <c r="BQ1" t="s">
        <v>95</v>
      </c>
    </row>
    <row r="2" spans="1:78" x14ac:dyDescent="0.3">
      <c r="A2" t="s">
        <v>3</v>
      </c>
      <c r="B2" t="s">
        <v>4</v>
      </c>
      <c r="C2" s="1" t="s">
        <v>5</v>
      </c>
      <c r="D2" t="s">
        <v>6</v>
      </c>
      <c r="E2" s="4" t="s">
        <v>7</v>
      </c>
      <c r="F2" s="6" t="s">
        <v>8</v>
      </c>
      <c r="G2" s="1" t="s">
        <v>9</v>
      </c>
      <c r="H2" s="8" t="s">
        <v>10</v>
      </c>
      <c r="I2" t="s">
        <v>11</v>
      </c>
      <c r="J2" s="4" t="s">
        <v>12</v>
      </c>
      <c r="K2" s="6" t="s">
        <v>13</v>
      </c>
      <c r="L2" t="s">
        <v>14</v>
      </c>
      <c r="M2" s="9" t="s">
        <v>10</v>
      </c>
      <c r="N2" t="s">
        <v>15</v>
      </c>
      <c r="O2" s="4" t="s">
        <v>16</v>
      </c>
      <c r="P2" s="6" t="s">
        <v>17</v>
      </c>
      <c r="Q2" s="8" t="s">
        <v>18</v>
      </c>
      <c r="R2" s="8" t="s">
        <v>10</v>
      </c>
      <c r="S2" t="s">
        <v>19</v>
      </c>
      <c r="T2" s="4" t="s">
        <v>20</v>
      </c>
      <c r="U2" s="6" t="s">
        <v>21</v>
      </c>
      <c r="V2" s="8" t="s">
        <v>22</v>
      </c>
      <c r="W2" s="8" t="s">
        <v>10</v>
      </c>
      <c r="X2" t="s">
        <v>23</v>
      </c>
      <c r="Y2" s="4" t="s">
        <v>24</v>
      </c>
      <c r="Z2" s="6" t="s">
        <v>25</v>
      </c>
      <c r="AA2" t="s">
        <v>26</v>
      </c>
      <c r="AB2" s="8" t="s">
        <v>10</v>
      </c>
      <c r="AC2" t="s">
        <v>27</v>
      </c>
      <c r="AD2" s="4" t="s">
        <v>28</v>
      </c>
      <c r="AE2" s="6" t="s">
        <v>29</v>
      </c>
      <c r="AF2" t="s">
        <v>30</v>
      </c>
      <c r="AG2" s="8" t="s">
        <v>10</v>
      </c>
      <c r="AH2" t="s">
        <v>31</v>
      </c>
      <c r="AI2" s="4" t="s">
        <v>32</v>
      </c>
      <c r="AJ2" s="6" t="s">
        <v>33</v>
      </c>
      <c r="AK2" t="s">
        <v>34</v>
      </c>
      <c r="AL2" s="8" t="s">
        <v>10</v>
      </c>
      <c r="AM2" t="s">
        <v>35</v>
      </c>
      <c r="AN2" s="4" t="s">
        <v>36</v>
      </c>
      <c r="AO2" s="6" t="s">
        <v>37</v>
      </c>
      <c r="AP2" t="s">
        <v>38</v>
      </c>
      <c r="AQ2" s="8" t="s">
        <v>10</v>
      </c>
      <c r="AR2" t="s">
        <v>39</v>
      </c>
      <c r="AS2" s="4" t="s">
        <v>40</v>
      </c>
      <c r="AT2" s="6" t="s">
        <v>41</v>
      </c>
      <c r="AU2" t="s">
        <v>42</v>
      </c>
      <c r="AV2" s="8" t="s">
        <v>10</v>
      </c>
      <c r="AW2" t="s">
        <v>43</v>
      </c>
      <c r="AX2" s="4" t="s">
        <v>44</v>
      </c>
      <c r="AY2" s="6" t="s">
        <v>45</v>
      </c>
      <c r="AZ2" t="s">
        <v>46</v>
      </c>
      <c r="BA2" s="8" t="s">
        <v>10</v>
      </c>
      <c r="BB2" t="s">
        <v>47</v>
      </c>
      <c r="BC2" s="4" t="s">
        <v>48</v>
      </c>
      <c r="BD2" s="6" t="s">
        <v>49</v>
      </c>
      <c r="BE2" t="s">
        <v>50</v>
      </c>
      <c r="BF2" s="8" t="s">
        <v>10</v>
      </c>
      <c r="BG2" t="s">
        <v>51</v>
      </c>
      <c r="BH2" s="4" t="s">
        <v>52</v>
      </c>
      <c r="BI2" s="6" t="s">
        <v>53</v>
      </c>
      <c r="BJ2" t="s">
        <v>54</v>
      </c>
      <c r="BK2" s="8" t="s">
        <v>10</v>
      </c>
      <c r="BL2" t="s">
        <v>55</v>
      </c>
      <c r="BM2" s="4" t="s">
        <v>56</v>
      </c>
      <c r="BN2" s="6" t="s">
        <v>57</v>
      </c>
      <c r="BO2" t="s">
        <v>58</v>
      </c>
      <c r="BP2" s="8" t="s">
        <v>10</v>
      </c>
      <c r="BQ2" t="s">
        <v>59</v>
      </c>
      <c r="BR2" s="4" t="s">
        <v>60</v>
      </c>
      <c r="BS2" s="6" t="s">
        <v>61</v>
      </c>
      <c r="BT2" t="s">
        <v>62</v>
      </c>
      <c r="BU2" s="8" t="s">
        <v>10</v>
      </c>
      <c r="BV2" t="s">
        <v>63</v>
      </c>
      <c r="BW2" s="4" t="s">
        <v>64</v>
      </c>
      <c r="BX2" s="6" t="s">
        <v>65</v>
      </c>
      <c r="BY2" t="s">
        <v>66</v>
      </c>
      <c r="BZ2" s="8" t="s">
        <v>10</v>
      </c>
    </row>
    <row r="3" spans="1:78" x14ac:dyDescent="0.3">
      <c r="G3" s="5"/>
    </row>
    <row r="5" spans="1:78" x14ac:dyDescent="0.3">
      <c r="G5" s="5"/>
    </row>
    <row r="9" spans="1:78" x14ac:dyDescent="0.3">
      <c r="G9" s="5"/>
      <c r="L9" s="5"/>
    </row>
    <row r="10" spans="1:78" x14ac:dyDescent="0.3">
      <c r="G10" s="7"/>
      <c r="L10" s="7"/>
      <c r="W10" s="9"/>
    </row>
    <row r="11" spans="1:78" x14ac:dyDescent="0.3">
      <c r="G11" s="7"/>
      <c r="L11" s="7"/>
      <c r="AP11" s="7"/>
    </row>
    <row r="12" spans="1:78" x14ac:dyDescent="0.3">
      <c r="AA12" s="7"/>
      <c r="AF12" s="7"/>
      <c r="AK12" s="7"/>
    </row>
    <row r="13" spans="1:78" x14ac:dyDescent="0.3">
      <c r="AA13" s="7"/>
      <c r="AK13" s="5"/>
    </row>
    <row r="14" spans="1:78" x14ac:dyDescent="0.3">
      <c r="AF14" s="7"/>
    </row>
    <row r="15" spans="1:78" x14ac:dyDescent="0.3">
      <c r="AF15" s="7"/>
    </row>
    <row r="17" spans="2:2" x14ac:dyDescent="0.3">
      <c r="B17" s="1"/>
    </row>
    <row r="18" spans="2:2" x14ac:dyDescent="0.3">
      <c r="B18" s="1"/>
    </row>
    <row r="25" spans="2:2" ht="13.2" customHeight="1" x14ac:dyDescent="0.3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0E86F-C190-4E4E-B550-C497FAC1674A}">
  <sheetPr codeName="Feuil4"/>
  <dimension ref="A1:BZ88"/>
  <sheetViews>
    <sheetView topLeftCell="A19" zoomScaleNormal="100" workbookViewId="0">
      <selection activeCell="H39" sqref="H39"/>
    </sheetView>
  </sheetViews>
  <sheetFormatPr baseColWidth="10" defaultColWidth="9.109375" defaultRowHeight="14.4" x14ac:dyDescent="0.3"/>
  <cols>
    <col min="1" max="1" width="5.21875" bestFit="1" customWidth="1"/>
    <col min="2" max="2" width="7.33203125" bestFit="1" customWidth="1"/>
    <col min="3" max="3" width="9.21875" bestFit="1" customWidth="1"/>
    <col min="4" max="4" width="7.33203125" bestFit="1" customWidth="1"/>
    <col min="5" max="5" width="9.21875" style="4" bestFit="1" customWidth="1"/>
    <col min="6" max="6" width="4.5546875" style="6" bestFit="1" customWidth="1"/>
    <col min="7" max="7" width="9.44140625" bestFit="1" customWidth="1"/>
    <col min="8" max="8" width="7.33203125" style="8" bestFit="1" customWidth="1"/>
    <col min="9" max="9" width="17" bestFit="1" customWidth="1"/>
    <col min="10" max="10" width="11.21875" style="4" bestFit="1" customWidth="1"/>
    <col min="11" max="11" width="5.5546875" style="6" bestFit="1" customWidth="1"/>
    <col min="12" max="12" width="4.21875" bestFit="1" customWidth="1"/>
    <col min="13" max="13" width="8.77734375" style="8" bestFit="1" customWidth="1"/>
    <col min="14" max="14" width="7.88671875" bestFit="1" customWidth="1"/>
    <col min="15" max="15" width="7.88671875" style="4" bestFit="1" customWidth="1"/>
    <col min="16" max="16" width="8.33203125" style="6" bestFit="1" customWidth="1"/>
    <col min="17" max="17" width="7.77734375" bestFit="1" customWidth="1"/>
    <col min="18" max="18" width="8.21875" style="8" bestFit="1" customWidth="1"/>
    <col min="19" max="19" width="8" bestFit="1" customWidth="1"/>
    <col min="20" max="20" width="8.21875" style="4" bestFit="1" customWidth="1"/>
    <col min="21" max="21" width="6.44140625" style="6" bestFit="1" customWidth="1"/>
    <col min="22" max="22" width="9.88671875" bestFit="1" customWidth="1"/>
    <col min="23" max="23" width="10.109375" style="8" bestFit="1" customWidth="1"/>
    <col min="24" max="24" width="17.88671875" bestFit="1" customWidth="1"/>
    <col min="25" max="25" width="20.77734375" style="4" bestFit="1" customWidth="1"/>
    <col min="26" max="26" width="8.21875" style="6" bestFit="1" customWidth="1"/>
    <col min="27" max="27" width="8.5546875" bestFit="1" customWidth="1"/>
    <col min="28" max="28" width="6.44140625" style="8" bestFit="1" customWidth="1"/>
    <col min="29" max="29" width="8.109375" bestFit="1" customWidth="1"/>
    <col min="30" max="30" width="9.88671875" style="4" bestFit="1" customWidth="1"/>
    <col min="31" max="31" width="11.21875" style="6" bestFit="1" customWidth="1"/>
    <col min="32" max="32" width="4.5546875" bestFit="1" customWidth="1"/>
    <col min="33" max="33" width="5.21875" style="8" bestFit="1" customWidth="1"/>
    <col min="34" max="34" width="26.88671875" bestFit="1" customWidth="1"/>
    <col min="35" max="35" width="6.109375" style="4" bestFit="1" customWidth="1"/>
    <col min="36" max="36" width="6" style="6" bestFit="1" customWidth="1"/>
    <col min="37" max="37" width="4.5546875" bestFit="1" customWidth="1"/>
    <col min="38" max="38" width="5.21875" style="8" bestFit="1" customWidth="1"/>
    <col min="39" max="39" width="24.44140625" bestFit="1" customWidth="1"/>
    <col min="40" max="40" width="6.109375" style="4" bestFit="1" customWidth="1"/>
    <col min="41" max="41" width="6" style="6" bestFit="1" customWidth="1"/>
    <col min="42" max="42" width="4.5546875" bestFit="1" customWidth="1"/>
    <col min="43" max="43" width="5.21875" style="8" bestFit="1" customWidth="1"/>
    <col min="44" max="44" width="38.21875" bestFit="1" customWidth="1"/>
    <col min="45" max="45" width="6.109375" style="4" bestFit="1" customWidth="1"/>
    <col min="46" max="46" width="6" style="6" bestFit="1" customWidth="1"/>
    <col min="47" max="47" width="4.5546875" bestFit="1" customWidth="1"/>
    <col min="48" max="48" width="5.21875" style="8" bestFit="1" customWidth="1"/>
    <col min="49" max="49" width="29.88671875" bestFit="1" customWidth="1"/>
    <col min="50" max="50" width="7.109375" style="4" bestFit="1" customWidth="1"/>
    <col min="51" max="51" width="7" style="6" bestFit="1" customWidth="1"/>
    <col min="52" max="52" width="5.5546875" bestFit="1" customWidth="1"/>
    <col min="53" max="53" width="5.21875" style="8" bestFit="1" customWidth="1"/>
    <col min="54" max="54" width="35.6640625" bestFit="1" customWidth="1"/>
    <col min="55" max="55" width="7.109375" style="4" bestFit="1" customWidth="1"/>
    <col min="56" max="56" width="7" style="6" bestFit="1" customWidth="1"/>
    <col min="57" max="57" width="5.5546875" bestFit="1" customWidth="1"/>
    <col min="58" max="58" width="5.21875" style="8" bestFit="1" customWidth="1"/>
    <col min="59" max="59" width="28" bestFit="1" customWidth="1"/>
    <col min="60" max="60" width="7.109375" style="4" bestFit="1" customWidth="1"/>
    <col min="61" max="61" width="6.44140625" style="6" bestFit="1" customWidth="1"/>
    <col min="62" max="62" width="5.5546875" bestFit="1" customWidth="1"/>
    <col min="63" max="63" width="5.21875" style="8" bestFit="1" customWidth="1"/>
    <col min="64" max="64" width="24.44140625" bestFit="1" customWidth="1"/>
    <col min="65" max="65" width="7.109375" style="4" bestFit="1" customWidth="1"/>
    <col min="66" max="66" width="7" style="6" bestFit="1" customWidth="1"/>
    <col min="67" max="67" width="5.5546875" bestFit="1" customWidth="1"/>
    <col min="68" max="68" width="5.21875" style="8" bestFit="1" customWidth="1"/>
    <col min="69" max="69" width="24.33203125" bestFit="1" customWidth="1"/>
    <col min="70" max="70" width="7.109375" style="4" bestFit="1" customWidth="1"/>
    <col min="71" max="71" width="7" style="6" bestFit="1" customWidth="1"/>
    <col min="72" max="72" width="5.5546875" bestFit="1" customWidth="1"/>
    <col min="73" max="73" width="5.21875" style="8" bestFit="1" customWidth="1"/>
    <col min="74" max="74" width="7.21875" bestFit="1" customWidth="1"/>
    <col min="75" max="75" width="7.109375" style="4" bestFit="1" customWidth="1"/>
    <col min="76" max="76" width="7" style="6" bestFit="1" customWidth="1"/>
    <col min="77" max="77" width="5.5546875" bestFit="1" customWidth="1"/>
    <col min="78" max="78" width="5.21875" style="8" bestFit="1" customWidth="1"/>
  </cols>
  <sheetData>
    <row r="1" spans="1:42" x14ac:dyDescent="0.3">
      <c r="A1" s="25" t="s">
        <v>483</v>
      </c>
      <c r="B1" s="25" t="s">
        <v>484</v>
      </c>
      <c r="C1" s="25" t="s">
        <v>485</v>
      </c>
      <c r="D1" s="25" t="s">
        <v>3</v>
      </c>
      <c r="E1" s="26" t="s">
        <v>486</v>
      </c>
      <c r="F1" s="27" t="s">
        <v>487</v>
      </c>
      <c r="G1" s="25" t="s">
        <v>488</v>
      </c>
      <c r="H1" s="28" t="s">
        <v>489</v>
      </c>
      <c r="I1" s="25" t="s">
        <v>511</v>
      </c>
      <c r="J1" s="26" t="s">
        <v>490</v>
      </c>
      <c r="K1" s="27" t="s">
        <v>491</v>
      </c>
      <c r="L1" s="25" t="s">
        <v>492</v>
      </c>
      <c r="M1" s="28" t="s">
        <v>493</v>
      </c>
      <c r="N1" s="25" t="s">
        <v>494</v>
      </c>
      <c r="O1" s="26" t="s">
        <v>495</v>
      </c>
      <c r="P1" s="27" t="s">
        <v>496</v>
      </c>
      <c r="Q1" s="25" t="s">
        <v>497</v>
      </c>
      <c r="R1" s="28" t="s">
        <v>498</v>
      </c>
      <c r="S1" s="25" t="s">
        <v>499</v>
      </c>
      <c r="T1" s="26" t="s">
        <v>500</v>
      </c>
      <c r="U1" s="27" t="s">
        <v>501</v>
      </c>
      <c r="V1" s="25" t="s">
        <v>502</v>
      </c>
      <c r="W1" s="28" t="s">
        <v>503</v>
      </c>
      <c r="X1" s="26" t="s">
        <v>504</v>
      </c>
      <c r="Y1" s="26" t="s">
        <v>505</v>
      </c>
      <c r="Z1" s="26" t="s">
        <v>506</v>
      </c>
      <c r="AA1" s="26" t="s">
        <v>507</v>
      </c>
      <c r="AB1" s="26" t="s">
        <v>508</v>
      </c>
      <c r="AC1" s="26" t="s">
        <v>509</v>
      </c>
      <c r="AD1" s="26" t="s">
        <v>510</v>
      </c>
      <c r="AE1" s="26" t="s">
        <v>512</v>
      </c>
      <c r="AF1" s="4"/>
      <c r="AG1" s="4"/>
      <c r="AH1" s="4"/>
    </row>
    <row r="2" spans="1:42" x14ac:dyDescent="0.3">
      <c r="A2" s="13">
        <v>8903</v>
      </c>
      <c r="B2" s="11">
        <v>48</v>
      </c>
      <c r="C2" s="12">
        <v>8903</v>
      </c>
      <c r="D2" s="13" t="s">
        <v>237</v>
      </c>
      <c r="E2" s="13" t="s">
        <v>238</v>
      </c>
      <c r="F2" s="12" t="s">
        <v>239</v>
      </c>
      <c r="G2" s="14">
        <v>14780</v>
      </c>
      <c r="H2" s="13">
        <v>8018903</v>
      </c>
      <c r="I2" s="15" t="s">
        <v>240</v>
      </c>
      <c r="J2" s="13" t="s">
        <v>241</v>
      </c>
      <c r="K2" s="13">
        <v>1968</v>
      </c>
      <c r="L2" s="12" t="s">
        <v>192</v>
      </c>
      <c r="M2" s="13">
        <v>55</v>
      </c>
      <c r="N2" s="13" t="s">
        <v>175</v>
      </c>
      <c r="O2" s="13"/>
      <c r="P2" s="16"/>
      <c r="Q2" s="11"/>
      <c r="R2" s="11"/>
      <c r="S2" s="11">
        <v>129</v>
      </c>
      <c r="T2" s="11">
        <v>4433</v>
      </c>
      <c r="U2" s="13">
        <v>58</v>
      </c>
      <c r="V2" s="13" t="s">
        <v>81</v>
      </c>
      <c r="W2" s="13"/>
      <c r="X2" s="13" t="s">
        <v>242</v>
      </c>
      <c r="Y2" s="13" t="s">
        <v>243</v>
      </c>
      <c r="Z2" s="13">
        <v>46</v>
      </c>
      <c r="AA2" s="13">
        <v>1</v>
      </c>
      <c r="AB2" s="13">
        <v>1</v>
      </c>
      <c r="AC2" s="13">
        <v>0</v>
      </c>
      <c r="AD2" s="13"/>
      <c r="AE2" s="23"/>
    </row>
    <row r="3" spans="1:42" x14ac:dyDescent="0.3">
      <c r="A3" s="19"/>
      <c r="B3" s="17"/>
      <c r="C3" s="18">
        <v>8903</v>
      </c>
      <c r="D3" s="19" t="s">
        <v>237</v>
      </c>
      <c r="E3" s="19" t="s">
        <v>238</v>
      </c>
      <c r="F3" s="18" t="s">
        <v>239</v>
      </c>
      <c r="G3" s="20">
        <v>12177</v>
      </c>
      <c r="H3" s="19">
        <v>8050858</v>
      </c>
      <c r="I3" s="21" t="s">
        <v>244</v>
      </c>
      <c r="J3" s="19" t="s">
        <v>245</v>
      </c>
      <c r="K3" s="19">
        <v>1958</v>
      </c>
      <c r="L3" s="18" t="s">
        <v>192</v>
      </c>
      <c r="M3" s="19">
        <v>65</v>
      </c>
      <c r="N3" s="19" t="s">
        <v>74</v>
      </c>
      <c r="O3" s="19">
        <v>2580</v>
      </c>
      <c r="P3" s="22">
        <v>2991</v>
      </c>
      <c r="Q3" s="17">
        <v>1696</v>
      </c>
      <c r="R3" s="17">
        <v>3161</v>
      </c>
      <c r="S3" s="17">
        <v>264</v>
      </c>
      <c r="T3" s="17">
        <v>3449</v>
      </c>
      <c r="U3" s="19">
        <v>68</v>
      </c>
      <c r="V3" s="19" t="s">
        <v>246</v>
      </c>
      <c r="W3" s="19"/>
      <c r="X3" s="19" t="s">
        <v>242</v>
      </c>
      <c r="Y3" s="19" t="s">
        <v>247</v>
      </c>
      <c r="Z3" s="19"/>
      <c r="AA3" s="19"/>
      <c r="AB3" s="19"/>
      <c r="AC3" s="19"/>
      <c r="AD3" s="19">
        <v>12177</v>
      </c>
      <c r="AE3" s="24"/>
    </row>
    <row r="4" spans="1:42" x14ac:dyDescent="0.3">
      <c r="A4" s="13"/>
      <c r="B4" s="11"/>
      <c r="C4" s="12">
        <v>8903</v>
      </c>
      <c r="D4" s="13" t="s">
        <v>237</v>
      </c>
      <c r="E4" s="13" t="s">
        <v>238</v>
      </c>
      <c r="F4" s="12" t="s">
        <v>239</v>
      </c>
      <c r="G4" s="14">
        <v>46184</v>
      </c>
      <c r="H4" s="13">
        <v>2158059</v>
      </c>
      <c r="I4" s="15" t="s">
        <v>248</v>
      </c>
      <c r="J4" s="13" t="s">
        <v>249</v>
      </c>
      <c r="K4" s="13">
        <v>1983</v>
      </c>
      <c r="L4" s="12" t="s">
        <v>72</v>
      </c>
      <c r="M4" s="13">
        <v>140</v>
      </c>
      <c r="N4" s="13" t="s">
        <v>183</v>
      </c>
      <c r="O4" s="13">
        <v>1593</v>
      </c>
      <c r="P4" s="16">
        <v>3851</v>
      </c>
      <c r="Q4" s="11"/>
      <c r="R4" s="11"/>
      <c r="S4" s="11"/>
      <c r="T4" s="11"/>
      <c r="U4" s="13">
        <v>43</v>
      </c>
      <c r="V4" s="13" t="s">
        <v>183</v>
      </c>
      <c r="W4" s="13"/>
      <c r="X4" s="13" t="s">
        <v>242</v>
      </c>
      <c r="Y4" s="13" t="s">
        <v>250</v>
      </c>
      <c r="Z4" s="13"/>
      <c r="AA4" s="13"/>
      <c r="AB4" s="13"/>
      <c r="AC4" s="13"/>
      <c r="AD4" s="13">
        <v>46184</v>
      </c>
      <c r="AE4" s="23"/>
    </row>
    <row r="5" spans="1:42" x14ac:dyDescent="0.3">
      <c r="A5" s="19"/>
      <c r="B5" s="17"/>
      <c r="C5" s="18">
        <v>8903</v>
      </c>
      <c r="D5" s="19" t="s">
        <v>237</v>
      </c>
      <c r="E5" s="19" t="s">
        <v>238</v>
      </c>
      <c r="F5" s="18" t="s">
        <v>239</v>
      </c>
      <c r="G5" s="20">
        <v>46028</v>
      </c>
      <c r="H5" s="19">
        <v>8581786</v>
      </c>
      <c r="I5" s="21" t="s">
        <v>251</v>
      </c>
      <c r="J5" s="19" t="s">
        <v>252</v>
      </c>
      <c r="K5" s="19">
        <v>1999</v>
      </c>
      <c r="L5" s="18" t="s">
        <v>192</v>
      </c>
      <c r="M5" s="19">
        <v>21</v>
      </c>
      <c r="N5" s="19" t="s">
        <v>99</v>
      </c>
      <c r="O5" s="19">
        <v>815</v>
      </c>
      <c r="P5" s="22">
        <v>4709</v>
      </c>
      <c r="Q5" s="17">
        <v>264</v>
      </c>
      <c r="R5" s="17">
        <v>5389</v>
      </c>
      <c r="S5" s="17">
        <v>125</v>
      </c>
      <c r="T5" s="17">
        <v>4447</v>
      </c>
      <c r="U5" s="19">
        <v>27</v>
      </c>
      <c r="V5" s="19" t="s">
        <v>99</v>
      </c>
      <c r="W5" s="19"/>
      <c r="X5" s="19" t="s">
        <v>242</v>
      </c>
      <c r="Y5" s="19" t="s">
        <v>253</v>
      </c>
      <c r="Z5" s="19"/>
      <c r="AA5" s="19"/>
      <c r="AB5" s="19"/>
      <c r="AC5" s="19"/>
      <c r="AD5" s="19">
        <v>46028</v>
      </c>
      <c r="AE5" s="24"/>
    </row>
    <row r="6" spans="1:42" x14ac:dyDescent="0.3">
      <c r="A6" s="13"/>
      <c r="B6" s="11"/>
      <c r="C6" s="12">
        <v>8903</v>
      </c>
      <c r="D6" s="13" t="s">
        <v>237</v>
      </c>
      <c r="E6" s="13" t="s">
        <v>238</v>
      </c>
      <c r="F6" s="12" t="s">
        <v>239</v>
      </c>
      <c r="G6" s="14">
        <v>42599</v>
      </c>
      <c r="H6" s="13">
        <v>8500492</v>
      </c>
      <c r="I6" s="15" t="s">
        <v>254</v>
      </c>
      <c r="J6" s="13" t="s">
        <v>255</v>
      </c>
      <c r="K6" s="13">
        <v>2008</v>
      </c>
      <c r="L6" s="12" t="s">
        <v>192</v>
      </c>
      <c r="M6" s="13">
        <v>18</v>
      </c>
      <c r="N6" s="13" t="s">
        <v>256</v>
      </c>
      <c r="O6" s="13"/>
      <c r="P6" s="16"/>
      <c r="Q6" s="11"/>
      <c r="R6" s="11"/>
      <c r="S6" s="11">
        <v>42</v>
      </c>
      <c r="T6" s="11">
        <v>5533</v>
      </c>
      <c r="U6" s="13">
        <v>18</v>
      </c>
      <c r="V6" s="13" t="s">
        <v>257</v>
      </c>
      <c r="W6" s="13"/>
      <c r="X6" s="13" t="s">
        <v>242</v>
      </c>
      <c r="Y6" s="13" t="s">
        <v>258</v>
      </c>
      <c r="Z6" s="13"/>
      <c r="AA6" s="13"/>
      <c r="AB6" s="13"/>
      <c r="AC6" s="13"/>
      <c r="AD6" s="13"/>
      <c r="AE6" s="23"/>
    </row>
    <row r="7" spans="1:42" x14ac:dyDescent="0.3">
      <c r="A7" s="19"/>
      <c r="B7" s="17"/>
      <c r="C7" s="18">
        <v>8903</v>
      </c>
      <c r="D7" s="19" t="s">
        <v>237</v>
      </c>
      <c r="E7" s="19" t="s">
        <v>238</v>
      </c>
      <c r="F7" s="18" t="s">
        <v>239</v>
      </c>
      <c r="G7" s="20">
        <v>42598</v>
      </c>
      <c r="H7" s="19">
        <v>8500434</v>
      </c>
      <c r="I7" s="21" t="s">
        <v>254</v>
      </c>
      <c r="J7" s="19" t="s">
        <v>259</v>
      </c>
      <c r="K7" s="19">
        <v>1979</v>
      </c>
      <c r="L7" s="18" t="s">
        <v>192</v>
      </c>
      <c r="M7" s="19">
        <v>45</v>
      </c>
      <c r="N7" s="19" t="s">
        <v>260</v>
      </c>
      <c r="O7" s="19">
        <v>2822</v>
      </c>
      <c r="P7" s="22">
        <v>2767</v>
      </c>
      <c r="Q7" s="17"/>
      <c r="R7" s="17"/>
      <c r="S7" s="17">
        <v>233</v>
      </c>
      <c r="T7" s="17">
        <v>3688</v>
      </c>
      <c r="U7" s="19">
        <v>47</v>
      </c>
      <c r="V7" s="19" t="s">
        <v>164</v>
      </c>
      <c r="W7" s="19"/>
      <c r="X7" s="19" t="s">
        <v>242</v>
      </c>
      <c r="Y7" s="19" t="s">
        <v>261</v>
      </c>
      <c r="Z7" s="19"/>
      <c r="AA7" s="19"/>
      <c r="AB7" s="19"/>
      <c r="AC7" s="19"/>
      <c r="AD7" s="19">
        <v>42598</v>
      </c>
      <c r="AE7" s="24"/>
    </row>
    <row r="8" spans="1:42" x14ac:dyDescent="0.3">
      <c r="A8" s="13"/>
      <c r="B8" s="11"/>
      <c r="C8" s="12">
        <v>8903</v>
      </c>
      <c r="D8" s="13" t="s">
        <v>237</v>
      </c>
      <c r="E8" s="13" t="s">
        <v>238</v>
      </c>
      <c r="F8" s="12" t="s">
        <v>239</v>
      </c>
      <c r="G8" s="14">
        <v>39186</v>
      </c>
      <c r="H8" s="13">
        <v>8161718</v>
      </c>
      <c r="I8" s="15" t="s">
        <v>262</v>
      </c>
      <c r="J8" s="13" t="s">
        <v>263</v>
      </c>
      <c r="K8" s="13">
        <v>2006</v>
      </c>
      <c r="L8" s="12" t="s">
        <v>72</v>
      </c>
      <c r="M8" s="13">
        <v>120</v>
      </c>
      <c r="N8" s="13" t="s">
        <v>106</v>
      </c>
      <c r="O8" s="13">
        <v>3073</v>
      </c>
      <c r="P8" s="16">
        <v>2543</v>
      </c>
      <c r="Q8" s="11">
        <v>1389</v>
      </c>
      <c r="R8" s="11">
        <v>3539</v>
      </c>
      <c r="S8" s="11"/>
      <c r="T8" s="11"/>
      <c r="U8" s="13">
        <v>20</v>
      </c>
      <c r="V8" s="13" t="s">
        <v>106</v>
      </c>
      <c r="W8" s="13"/>
      <c r="X8" s="13" t="s">
        <v>242</v>
      </c>
      <c r="Y8" s="13" t="s">
        <v>264</v>
      </c>
      <c r="Z8" s="13"/>
      <c r="AA8" s="13"/>
      <c r="AB8" s="13"/>
      <c r="AC8" s="13"/>
      <c r="AD8" s="13">
        <v>39186</v>
      </c>
      <c r="AE8" s="23"/>
    </row>
    <row r="9" spans="1:42" x14ac:dyDescent="0.3">
      <c r="A9" s="19"/>
      <c r="B9" s="17"/>
      <c r="C9" s="18">
        <v>8903</v>
      </c>
      <c r="D9" s="19" t="s">
        <v>237</v>
      </c>
      <c r="E9" s="19" t="s">
        <v>238</v>
      </c>
      <c r="F9" s="18" t="s">
        <v>239</v>
      </c>
      <c r="G9" s="20">
        <v>39185</v>
      </c>
      <c r="H9" s="19">
        <v>8171016</v>
      </c>
      <c r="I9" s="21" t="s">
        <v>262</v>
      </c>
      <c r="J9" s="19" t="s">
        <v>265</v>
      </c>
      <c r="K9" s="19">
        <v>2006</v>
      </c>
      <c r="L9" s="18" t="s">
        <v>72</v>
      </c>
      <c r="M9" s="19">
        <v>120</v>
      </c>
      <c r="N9" s="19" t="s">
        <v>106</v>
      </c>
      <c r="O9" s="19">
        <v>1617</v>
      </c>
      <c r="P9" s="22">
        <v>3828</v>
      </c>
      <c r="Q9" s="17">
        <v>775</v>
      </c>
      <c r="R9" s="17">
        <v>4383</v>
      </c>
      <c r="S9" s="17"/>
      <c r="T9" s="17"/>
      <c r="U9" s="19">
        <v>20</v>
      </c>
      <c r="V9" s="19" t="s">
        <v>106</v>
      </c>
      <c r="W9" s="19"/>
      <c r="X9" s="19" t="s">
        <v>242</v>
      </c>
      <c r="Y9" s="19" t="s">
        <v>266</v>
      </c>
      <c r="Z9" s="19"/>
      <c r="AA9" s="19"/>
      <c r="AB9" s="19"/>
      <c r="AC9" s="19"/>
      <c r="AD9" s="19">
        <v>39185</v>
      </c>
      <c r="AE9" s="24"/>
    </row>
    <row r="10" spans="1:42" x14ac:dyDescent="0.3">
      <c r="A10" s="13"/>
      <c r="B10" s="11"/>
      <c r="C10" s="12">
        <v>8903</v>
      </c>
      <c r="D10" s="13" t="s">
        <v>237</v>
      </c>
      <c r="E10" s="13" t="s">
        <v>238</v>
      </c>
      <c r="F10" s="12" t="s">
        <v>239</v>
      </c>
      <c r="G10" s="14">
        <v>46787</v>
      </c>
      <c r="H10" s="13">
        <v>8534679</v>
      </c>
      <c r="I10" s="15" t="s">
        <v>267</v>
      </c>
      <c r="J10" s="13" t="s">
        <v>268</v>
      </c>
      <c r="K10" s="13">
        <v>2012</v>
      </c>
      <c r="L10" s="12" t="s">
        <v>192</v>
      </c>
      <c r="M10" s="13">
        <v>14</v>
      </c>
      <c r="N10" s="13" t="s">
        <v>67</v>
      </c>
      <c r="O10" s="13">
        <v>4069</v>
      </c>
      <c r="P10" s="16">
        <v>1359</v>
      </c>
      <c r="Q10" s="11">
        <v>2356</v>
      </c>
      <c r="R10" s="11">
        <v>1892</v>
      </c>
      <c r="S10" s="11"/>
      <c r="T10" s="11"/>
      <c r="U10" s="13">
        <v>14</v>
      </c>
      <c r="V10" s="13" t="s">
        <v>67</v>
      </c>
      <c r="W10" s="13"/>
      <c r="X10" s="13" t="s">
        <v>242</v>
      </c>
      <c r="Y10" s="13" t="s">
        <v>269</v>
      </c>
      <c r="Z10" s="13"/>
      <c r="AA10" s="13"/>
      <c r="AB10" s="13"/>
      <c r="AC10" s="13"/>
      <c r="AD10" s="13">
        <v>46787</v>
      </c>
      <c r="AE10" s="23"/>
      <c r="AP10" s="7"/>
    </row>
    <row r="11" spans="1:42" x14ac:dyDescent="0.3">
      <c r="A11" s="19"/>
      <c r="B11" s="17"/>
      <c r="C11" s="18">
        <v>8903</v>
      </c>
      <c r="D11" s="19" t="s">
        <v>237</v>
      </c>
      <c r="E11" s="19" t="s">
        <v>238</v>
      </c>
      <c r="F11" s="18" t="s">
        <v>239</v>
      </c>
      <c r="G11" s="20">
        <v>48036</v>
      </c>
      <c r="H11" s="19">
        <v>8534692</v>
      </c>
      <c r="I11" s="21" t="s">
        <v>267</v>
      </c>
      <c r="J11" s="19" t="s">
        <v>270</v>
      </c>
      <c r="K11" s="19">
        <v>1985</v>
      </c>
      <c r="L11" s="18" t="s">
        <v>192</v>
      </c>
      <c r="M11" s="19">
        <v>40</v>
      </c>
      <c r="N11" s="19" t="s">
        <v>164</v>
      </c>
      <c r="O11" s="19">
        <v>2661</v>
      </c>
      <c r="P11" s="22">
        <v>2915</v>
      </c>
      <c r="Q11" s="17">
        <v>1414</v>
      </c>
      <c r="R11" s="17">
        <v>3512</v>
      </c>
      <c r="S11" s="17"/>
      <c r="T11" s="17"/>
      <c r="U11" s="19">
        <v>41</v>
      </c>
      <c r="V11" s="19" t="s">
        <v>164</v>
      </c>
      <c r="W11" s="19"/>
      <c r="X11" s="19" t="s">
        <v>242</v>
      </c>
      <c r="Y11" s="19" t="s">
        <v>271</v>
      </c>
      <c r="Z11" s="19"/>
      <c r="AA11" s="19"/>
      <c r="AB11" s="19"/>
      <c r="AC11" s="19"/>
      <c r="AD11" s="19">
        <v>48036</v>
      </c>
      <c r="AE11" s="24"/>
      <c r="AF11" s="7"/>
      <c r="AK11" s="7"/>
    </row>
    <row r="12" spans="1:42" x14ac:dyDescent="0.3">
      <c r="A12" s="13"/>
      <c r="B12" s="11"/>
      <c r="C12" s="12">
        <v>8903</v>
      </c>
      <c r="D12" s="13" t="s">
        <v>237</v>
      </c>
      <c r="E12" s="13" t="s">
        <v>238</v>
      </c>
      <c r="F12" s="12" t="s">
        <v>239</v>
      </c>
      <c r="G12" s="14">
        <v>49693</v>
      </c>
      <c r="H12" s="13">
        <v>2158061</v>
      </c>
      <c r="I12" s="15" t="s">
        <v>267</v>
      </c>
      <c r="J12" s="13" t="s">
        <v>272</v>
      </c>
      <c r="K12" s="13">
        <v>2016</v>
      </c>
      <c r="L12" s="12" t="s">
        <v>72</v>
      </c>
      <c r="M12" s="13">
        <v>110</v>
      </c>
      <c r="N12" s="13" t="s">
        <v>170</v>
      </c>
      <c r="O12" s="13"/>
      <c r="P12" s="16"/>
      <c r="Q12" s="11"/>
      <c r="R12" s="11"/>
      <c r="S12" s="11"/>
      <c r="T12" s="11"/>
      <c r="U12" s="13">
        <v>10</v>
      </c>
      <c r="V12" s="13" t="s">
        <v>170</v>
      </c>
      <c r="W12" s="13"/>
      <c r="X12" s="13" t="s">
        <v>242</v>
      </c>
      <c r="Y12" s="13" t="s">
        <v>273</v>
      </c>
      <c r="Z12" s="13"/>
      <c r="AA12" s="13"/>
      <c r="AB12" s="13"/>
      <c r="AC12" s="13"/>
      <c r="AD12" s="13"/>
      <c r="AE12" s="23"/>
      <c r="AK12" s="5"/>
    </row>
    <row r="13" spans="1:42" x14ac:dyDescent="0.3">
      <c r="A13" s="19"/>
      <c r="B13" s="17"/>
      <c r="C13" s="18">
        <v>8903</v>
      </c>
      <c r="D13" s="19" t="s">
        <v>237</v>
      </c>
      <c r="E13" s="19" t="s">
        <v>238</v>
      </c>
      <c r="F13" s="18" t="s">
        <v>239</v>
      </c>
      <c r="G13" s="20">
        <v>8761</v>
      </c>
      <c r="H13" s="19">
        <v>8545607</v>
      </c>
      <c r="I13" s="21" t="s">
        <v>274</v>
      </c>
      <c r="J13" s="19" t="s">
        <v>275</v>
      </c>
      <c r="K13" s="19">
        <v>1952</v>
      </c>
      <c r="L13" s="18" t="s">
        <v>72</v>
      </c>
      <c r="M13" s="19">
        <v>170</v>
      </c>
      <c r="N13" s="19" t="s">
        <v>109</v>
      </c>
      <c r="O13" s="19">
        <v>3435</v>
      </c>
      <c r="P13" s="22">
        <v>2164</v>
      </c>
      <c r="Q13" s="17"/>
      <c r="R13" s="17"/>
      <c r="S13" s="17"/>
      <c r="T13" s="17"/>
      <c r="U13" s="19">
        <v>74</v>
      </c>
      <c r="V13" s="19" t="s">
        <v>109</v>
      </c>
      <c r="W13" s="19"/>
      <c r="X13" s="19" t="s">
        <v>242</v>
      </c>
      <c r="Y13" s="19" t="s">
        <v>276</v>
      </c>
      <c r="Z13" s="19"/>
      <c r="AA13" s="19"/>
      <c r="AB13" s="19"/>
      <c r="AC13" s="19"/>
      <c r="AD13" s="19">
        <v>8761</v>
      </c>
      <c r="AE13" s="24"/>
      <c r="AF13" s="7"/>
    </row>
    <row r="14" spans="1:42" x14ac:dyDescent="0.3">
      <c r="A14" s="13"/>
      <c r="B14" s="11"/>
      <c r="C14" s="12">
        <v>8903</v>
      </c>
      <c r="D14" s="13" t="s">
        <v>237</v>
      </c>
      <c r="E14" s="13" t="s">
        <v>238</v>
      </c>
      <c r="F14" s="12" t="s">
        <v>239</v>
      </c>
      <c r="G14" s="14">
        <v>47814</v>
      </c>
      <c r="H14" s="13">
        <v>2158057</v>
      </c>
      <c r="I14" s="15" t="s">
        <v>277</v>
      </c>
      <c r="J14" s="13" t="s">
        <v>278</v>
      </c>
      <c r="K14" s="13">
        <v>2006</v>
      </c>
      <c r="L14" s="12" t="s">
        <v>72</v>
      </c>
      <c r="M14" s="13">
        <v>120</v>
      </c>
      <c r="N14" s="13" t="s">
        <v>106</v>
      </c>
      <c r="O14" s="13"/>
      <c r="P14" s="16"/>
      <c r="Q14" s="11"/>
      <c r="R14" s="11"/>
      <c r="S14" s="11"/>
      <c r="T14" s="11"/>
      <c r="U14" s="13">
        <v>20</v>
      </c>
      <c r="V14" s="13" t="s">
        <v>106</v>
      </c>
      <c r="W14" s="13"/>
      <c r="X14" s="13" t="s">
        <v>242</v>
      </c>
      <c r="Y14" s="13" t="s">
        <v>279</v>
      </c>
      <c r="Z14" s="13"/>
      <c r="AA14" s="13"/>
      <c r="AB14" s="13"/>
      <c r="AC14" s="13"/>
      <c r="AD14" s="13"/>
      <c r="AE14" s="23"/>
      <c r="AF14" s="7"/>
    </row>
    <row r="15" spans="1:42" x14ac:dyDescent="0.3">
      <c r="A15" s="19"/>
      <c r="B15" s="17"/>
      <c r="C15" s="18">
        <v>8903</v>
      </c>
      <c r="D15" s="19" t="s">
        <v>237</v>
      </c>
      <c r="E15" s="19" t="s">
        <v>238</v>
      </c>
      <c r="F15" s="18" t="s">
        <v>239</v>
      </c>
      <c r="G15" s="20">
        <v>47815</v>
      </c>
      <c r="H15" s="19">
        <v>1010421</v>
      </c>
      <c r="I15" s="21" t="s">
        <v>277</v>
      </c>
      <c r="J15" s="19" t="s">
        <v>280</v>
      </c>
      <c r="K15" s="19">
        <v>2008</v>
      </c>
      <c r="L15" s="18" t="s">
        <v>72</v>
      </c>
      <c r="M15" s="19">
        <v>118</v>
      </c>
      <c r="N15" s="19" t="s">
        <v>281</v>
      </c>
      <c r="O15" s="19">
        <v>2999</v>
      </c>
      <c r="P15" s="22">
        <v>2612</v>
      </c>
      <c r="Q15" s="17"/>
      <c r="R15" s="17"/>
      <c r="S15" s="17"/>
      <c r="T15" s="17"/>
      <c r="U15" s="19">
        <v>18</v>
      </c>
      <c r="V15" s="19" t="s">
        <v>282</v>
      </c>
      <c r="W15" s="19"/>
      <c r="X15" s="19" t="s">
        <v>242</v>
      </c>
      <c r="Y15" s="19" t="s">
        <v>283</v>
      </c>
      <c r="Z15" s="19"/>
      <c r="AA15" s="19"/>
      <c r="AB15" s="19"/>
      <c r="AC15" s="19"/>
      <c r="AD15" s="19">
        <v>47815</v>
      </c>
      <c r="AE15" s="24"/>
    </row>
    <row r="16" spans="1:42" x14ac:dyDescent="0.3">
      <c r="A16" s="13"/>
      <c r="B16" s="11"/>
      <c r="C16" s="12">
        <v>8903</v>
      </c>
      <c r="D16" s="13" t="s">
        <v>237</v>
      </c>
      <c r="E16" s="13" t="s">
        <v>238</v>
      </c>
      <c r="F16" s="12" t="s">
        <v>239</v>
      </c>
      <c r="G16" s="14">
        <v>46475</v>
      </c>
      <c r="H16" s="13">
        <v>205574</v>
      </c>
      <c r="I16" s="15" t="s">
        <v>284</v>
      </c>
      <c r="J16" s="13" t="s">
        <v>285</v>
      </c>
      <c r="K16" s="13">
        <v>2019</v>
      </c>
      <c r="L16" s="12" t="s">
        <v>192</v>
      </c>
      <c r="M16" s="13">
        <v>10</v>
      </c>
      <c r="N16" s="13" t="s">
        <v>286</v>
      </c>
      <c r="O16" s="13"/>
      <c r="P16" s="16"/>
      <c r="Q16" s="11"/>
      <c r="R16" s="11"/>
      <c r="S16" s="11"/>
      <c r="T16" s="11"/>
      <c r="U16" s="13">
        <v>7</v>
      </c>
      <c r="V16" s="13" t="s">
        <v>286</v>
      </c>
      <c r="W16" s="13"/>
      <c r="X16" s="13" t="s">
        <v>242</v>
      </c>
      <c r="Y16" s="13" t="s">
        <v>287</v>
      </c>
      <c r="Z16" s="13"/>
      <c r="AA16" s="13"/>
      <c r="AB16" s="13"/>
      <c r="AC16" s="13"/>
      <c r="AD16" s="13"/>
      <c r="AE16" s="23"/>
    </row>
    <row r="17" spans="1:31" x14ac:dyDescent="0.3">
      <c r="A17" s="19"/>
      <c r="B17" s="17"/>
      <c r="C17" s="18">
        <v>8903</v>
      </c>
      <c r="D17" s="19" t="s">
        <v>237</v>
      </c>
      <c r="E17" s="19" t="s">
        <v>238</v>
      </c>
      <c r="F17" s="18" t="s">
        <v>239</v>
      </c>
      <c r="G17" s="20">
        <v>49683</v>
      </c>
      <c r="H17" s="19">
        <v>2027602</v>
      </c>
      <c r="I17" s="21" t="s">
        <v>284</v>
      </c>
      <c r="J17" s="19" t="s">
        <v>288</v>
      </c>
      <c r="K17" s="19">
        <v>2022</v>
      </c>
      <c r="L17" s="18" t="s">
        <v>72</v>
      </c>
      <c r="M17" s="19">
        <v>110</v>
      </c>
      <c r="N17" s="19" t="s">
        <v>170</v>
      </c>
      <c r="O17" s="19"/>
      <c r="P17" s="22"/>
      <c r="Q17" s="17"/>
      <c r="R17" s="17"/>
      <c r="S17" s="17"/>
      <c r="T17" s="17"/>
      <c r="U17" s="19">
        <v>4</v>
      </c>
      <c r="V17" s="19" t="s">
        <v>170</v>
      </c>
      <c r="W17" s="19"/>
      <c r="X17" s="19" t="s">
        <v>242</v>
      </c>
      <c r="Y17" s="19" t="s">
        <v>289</v>
      </c>
      <c r="Z17" s="19"/>
      <c r="AA17" s="19"/>
      <c r="AB17" s="19"/>
      <c r="AC17" s="19"/>
      <c r="AD17" s="19"/>
      <c r="AE17" s="24"/>
    </row>
    <row r="18" spans="1:31" x14ac:dyDescent="0.3">
      <c r="A18" s="13"/>
      <c r="B18" s="11"/>
      <c r="C18" s="12">
        <v>8903</v>
      </c>
      <c r="D18" s="13" t="s">
        <v>237</v>
      </c>
      <c r="E18" s="13" t="s">
        <v>238</v>
      </c>
      <c r="F18" s="12" t="s">
        <v>239</v>
      </c>
      <c r="G18" s="14">
        <v>13649</v>
      </c>
      <c r="H18" s="13">
        <v>8310889</v>
      </c>
      <c r="I18" s="15" t="s">
        <v>284</v>
      </c>
      <c r="J18" s="13" t="s">
        <v>290</v>
      </c>
      <c r="K18" s="13">
        <v>1989</v>
      </c>
      <c r="L18" s="12" t="s">
        <v>72</v>
      </c>
      <c r="M18" s="13">
        <v>135</v>
      </c>
      <c r="N18" s="13" t="s">
        <v>291</v>
      </c>
      <c r="O18" s="13">
        <v>2286</v>
      </c>
      <c r="P18" s="16">
        <v>3252</v>
      </c>
      <c r="Q18" s="11">
        <v>1449</v>
      </c>
      <c r="R18" s="11">
        <v>3475</v>
      </c>
      <c r="S18" s="11"/>
      <c r="T18" s="11"/>
      <c r="U18" s="13">
        <v>37</v>
      </c>
      <c r="V18" s="13" t="s">
        <v>78</v>
      </c>
      <c r="W18" s="13"/>
      <c r="X18" s="13" t="s">
        <v>242</v>
      </c>
      <c r="Y18" s="13" t="s">
        <v>292</v>
      </c>
      <c r="Z18" s="13"/>
      <c r="AA18" s="13"/>
      <c r="AB18" s="13"/>
      <c r="AC18" s="13"/>
      <c r="AD18" s="13">
        <v>13649</v>
      </c>
      <c r="AE18" s="23"/>
    </row>
    <row r="19" spans="1:31" x14ac:dyDescent="0.3">
      <c r="A19" s="19"/>
      <c r="B19" s="17"/>
      <c r="C19" s="18">
        <v>8903</v>
      </c>
      <c r="D19" s="19" t="s">
        <v>237</v>
      </c>
      <c r="E19" s="19" t="s">
        <v>238</v>
      </c>
      <c r="F19" s="18" t="s">
        <v>239</v>
      </c>
      <c r="G19" s="20">
        <v>32504</v>
      </c>
      <c r="H19" s="19">
        <v>2027602</v>
      </c>
      <c r="I19" s="21" t="s">
        <v>284</v>
      </c>
      <c r="J19" s="19" t="s">
        <v>293</v>
      </c>
      <c r="K19" s="19">
        <v>1989</v>
      </c>
      <c r="L19" s="18" t="s">
        <v>192</v>
      </c>
      <c r="M19" s="19">
        <v>35</v>
      </c>
      <c r="N19" s="19" t="s">
        <v>294</v>
      </c>
      <c r="O19" s="19"/>
      <c r="P19" s="22"/>
      <c r="Q19" s="17"/>
      <c r="R19" s="17"/>
      <c r="S19" s="17"/>
      <c r="T19" s="17"/>
      <c r="U19" s="19">
        <v>37</v>
      </c>
      <c r="V19" s="19" t="s">
        <v>99</v>
      </c>
      <c r="W19" s="19"/>
      <c r="X19" s="19" t="s">
        <v>242</v>
      </c>
      <c r="Y19" s="19" t="s">
        <v>295</v>
      </c>
      <c r="Z19" s="19"/>
      <c r="AA19" s="19"/>
      <c r="AB19" s="19"/>
      <c r="AC19" s="19"/>
      <c r="AD19" s="19"/>
      <c r="AE19" s="24"/>
    </row>
    <row r="20" spans="1:31" x14ac:dyDescent="0.3">
      <c r="A20" s="13"/>
      <c r="B20" s="11"/>
      <c r="C20" s="12">
        <v>8903</v>
      </c>
      <c r="D20" s="13" t="s">
        <v>237</v>
      </c>
      <c r="E20" s="13" t="s">
        <v>238</v>
      </c>
      <c r="F20" s="12" t="s">
        <v>239</v>
      </c>
      <c r="G20" s="14">
        <v>44909</v>
      </c>
      <c r="H20" s="13">
        <v>1890301</v>
      </c>
      <c r="I20" s="15" t="s">
        <v>296</v>
      </c>
      <c r="J20" s="13" t="s">
        <v>297</v>
      </c>
      <c r="K20" s="13">
        <v>1969</v>
      </c>
      <c r="L20" s="12" t="s">
        <v>72</v>
      </c>
      <c r="M20" s="13">
        <v>155</v>
      </c>
      <c r="N20" s="13" t="s">
        <v>298</v>
      </c>
      <c r="O20" s="13">
        <v>3957</v>
      </c>
      <c r="P20" s="16">
        <v>1546</v>
      </c>
      <c r="Q20" s="11">
        <v>1982</v>
      </c>
      <c r="R20" s="11">
        <v>2758</v>
      </c>
      <c r="S20" s="11">
        <v>429</v>
      </c>
      <c r="T20" s="11">
        <v>2022</v>
      </c>
      <c r="U20" s="13">
        <v>57</v>
      </c>
      <c r="V20" s="13" t="s">
        <v>140</v>
      </c>
      <c r="W20" s="13"/>
      <c r="X20" s="13" t="s">
        <v>242</v>
      </c>
      <c r="Y20" s="13" t="s">
        <v>299</v>
      </c>
      <c r="Z20" s="13"/>
      <c r="AA20" s="13"/>
      <c r="AB20" s="13"/>
      <c r="AC20" s="13"/>
      <c r="AD20" s="13">
        <v>44909</v>
      </c>
      <c r="AE20" s="23"/>
    </row>
    <row r="21" spans="1:31" x14ac:dyDescent="0.3">
      <c r="A21" s="19"/>
      <c r="B21" s="17"/>
      <c r="C21" s="18">
        <v>8903</v>
      </c>
      <c r="D21" s="19" t="s">
        <v>237</v>
      </c>
      <c r="E21" s="19" t="s">
        <v>238</v>
      </c>
      <c r="F21" s="18" t="s">
        <v>239</v>
      </c>
      <c r="G21" s="20">
        <v>20044</v>
      </c>
      <c r="H21" s="19">
        <v>8890305</v>
      </c>
      <c r="I21" s="21" t="s">
        <v>300</v>
      </c>
      <c r="J21" s="19" t="s">
        <v>301</v>
      </c>
      <c r="K21" s="19">
        <v>1969</v>
      </c>
      <c r="L21" s="18" t="s">
        <v>192</v>
      </c>
      <c r="M21" s="19">
        <v>55</v>
      </c>
      <c r="N21" s="19" t="s">
        <v>175</v>
      </c>
      <c r="O21" s="19">
        <v>937</v>
      </c>
      <c r="P21" s="22">
        <v>4526</v>
      </c>
      <c r="Q21" s="17">
        <v>974</v>
      </c>
      <c r="R21" s="17">
        <v>4100</v>
      </c>
      <c r="S21" s="17">
        <v>221</v>
      </c>
      <c r="T21" s="17">
        <v>3768</v>
      </c>
      <c r="U21" s="19">
        <v>57</v>
      </c>
      <c r="V21" s="19" t="s">
        <v>81</v>
      </c>
      <c r="W21" s="19"/>
      <c r="X21" s="19" t="s">
        <v>242</v>
      </c>
      <c r="Y21" s="19" t="s">
        <v>302</v>
      </c>
      <c r="Z21" s="19"/>
      <c r="AA21" s="19"/>
      <c r="AB21" s="19"/>
      <c r="AC21" s="19"/>
      <c r="AD21" s="19">
        <v>20044</v>
      </c>
      <c r="AE21" s="24"/>
    </row>
    <row r="22" spans="1:31" x14ac:dyDescent="0.3">
      <c r="A22" s="13"/>
      <c r="B22" s="11"/>
      <c r="C22" s="12">
        <v>8903</v>
      </c>
      <c r="D22" s="13" t="s">
        <v>237</v>
      </c>
      <c r="E22" s="13" t="s">
        <v>238</v>
      </c>
      <c r="F22" s="12" t="s">
        <v>239</v>
      </c>
      <c r="G22" s="14">
        <v>47651</v>
      </c>
      <c r="H22" s="13">
        <v>2027613</v>
      </c>
      <c r="I22" s="15" t="s">
        <v>303</v>
      </c>
      <c r="J22" s="13" t="s">
        <v>304</v>
      </c>
      <c r="K22" s="13">
        <v>1988</v>
      </c>
      <c r="L22" s="12" t="s">
        <v>72</v>
      </c>
      <c r="M22" s="13">
        <v>135</v>
      </c>
      <c r="N22" s="13" t="s">
        <v>291</v>
      </c>
      <c r="O22" s="13"/>
      <c r="P22" s="16"/>
      <c r="Q22" s="11">
        <v>2416</v>
      </c>
      <c r="R22" s="11">
        <v>1608</v>
      </c>
      <c r="S22" s="11"/>
      <c r="T22" s="11"/>
      <c r="U22" s="13">
        <v>38</v>
      </c>
      <c r="V22" s="13" t="s">
        <v>78</v>
      </c>
      <c r="W22" s="13"/>
      <c r="X22" s="13" t="s">
        <v>242</v>
      </c>
      <c r="Y22" s="13" t="s">
        <v>305</v>
      </c>
      <c r="Z22" s="13"/>
      <c r="AA22" s="13"/>
      <c r="AB22" s="13"/>
      <c r="AC22" s="13"/>
      <c r="AD22" s="13">
        <v>47651</v>
      </c>
      <c r="AE22" s="23"/>
    </row>
    <row r="23" spans="1:31" x14ac:dyDescent="0.3">
      <c r="A23" s="19"/>
      <c r="B23" s="17"/>
      <c r="C23" s="18">
        <v>8903</v>
      </c>
      <c r="D23" s="19" t="s">
        <v>237</v>
      </c>
      <c r="E23" s="19" t="s">
        <v>238</v>
      </c>
      <c r="F23" s="18" t="s">
        <v>239</v>
      </c>
      <c r="G23" s="20">
        <v>34797</v>
      </c>
      <c r="H23" s="19">
        <v>1890311</v>
      </c>
      <c r="I23" s="21" t="s">
        <v>303</v>
      </c>
      <c r="J23" s="19" t="s">
        <v>306</v>
      </c>
      <c r="K23" s="19">
        <v>1960</v>
      </c>
      <c r="L23" s="18" t="s">
        <v>192</v>
      </c>
      <c r="M23" s="19">
        <v>65</v>
      </c>
      <c r="N23" s="19" t="s">
        <v>74</v>
      </c>
      <c r="O23" s="19">
        <v>3479</v>
      </c>
      <c r="P23" s="22">
        <v>2126</v>
      </c>
      <c r="Q23" s="17">
        <v>2147</v>
      </c>
      <c r="R23" s="17">
        <v>2430</v>
      </c>
      <c r="S23" s="17"/>
      <c r="T23" s="17"/>
      <c r="U23" s="19">
        <v>66</v>
      </c>
      <c r="V23" s="19" t="s">
        <v>246</v>
      </c>
      <c r="W23" s="19"/>
      <c r="X23" s="19" t="s">
        <v>242</v>
      </c>
      <c r="Y23" s="19" t="s">
        <v>307</v>
      </c>
      <c r="Z23" s="19"/>
      <c r="AA23" s="19"/>
      <c r="AB23" s="19"/>
      <c r="AC23" s="19"/>
      <c r="AD23" s="19">
        <v>34797</v>
      </c>
      <c r="AE23" s="24"/>
    </row>
    <row r="24" spans="1:31" x14ac:dyDescent="0.3">
      <c r="A24" s="13"/>
      <c r="B24" s="11"/>
      <c r="C24" s="12">
        <v>8903</v>
      </c>
      <c r="D24" s="13" t="s">
        <v>237</v>
      </c>
      <c r="E24" s="13" t="s">
        <v>238</v>
      </c>
      <c r="F24" s="12" t="s">
        <v>239</v>
      </c>
      <c r="G24" s="14">
        <v>47650</v>
      </c>
      <c r="H24" s="13">
        <v>2027608</v>
      </c>
      <c r="I24" s="15" t="s">
        <v>303</v>
      </c>
      <c r="J24" s="13" t="s">
        <v>308</v>
      </c>
      <c r="K24" s="13">
        <v>1988</v>
      </c>
      <c r="L24" s="12" t="s">
        <v>192</v>
      </c>
      <c r="M24" s="13">
        <v>35</v>
      </c>
      <c r="N24" s="13" t="s">
        <v>294</v>
      </c>
      <c r="O24" s="13">
        <v>2019</v>
      </c>
      <c r="P24" s="16">
        <v>3476</v>
      </c>
      <c r="Q24" s="11">
        <v>940</v>
      </c>
      <c r="R24" s="11">
        <v>4152</v>
      </c>
      <c r="S24" s="11"/>
      <c r="T24" s="11"/>
      <c r="U24" s="13">
        <v>38</v>
      </c>
      <c r="V24" s="13" t="s">
        <v>99</v>
      </c>
      <c r="W24" s="13"/>
      <c r="X24" s="13" t="s">
        <v>242</v>
      </c>
      <c r="Y24" s="13" t="s">
        <v>309</v>
      </c>
      <c r="Z24" s="13"/>
      <c r="AA24" s="13"/>
      <c r="AB24" s="13"/>
      <c r="AC24" s="13"/>
      <c r="AD24" s="13">
        <v>47650</v>
      </c>
      <c r="AE24" s="23"/>
    </row>
    <row r="25" spans="1:31" x14ac:dyDescent="0.3">
      <c r="A25" s="19"/>
      <c r="B25" s="17"/>
      <c r="C25" s="18">
        <v>8903</v>
      </c>
      <c r="D25" s="19" t="s">
        <v>237</v>
      </c>
      <c r="E25" s="19" t="s">
        <v>238</v>
      </c>
      <c r="F25" s="18" t="s">
        <v>239</v>
      </c>
      <c r="G25" s="20">
        <v>41608</v>
      </c>
      <c r="H25" s="19">
        <v>8527790</v>
      </c>
      <c r="I25" s="21" t="s">
        <v>310</v>
      </c>
      <c r="J25" s="19" t="s">
        <v>311</v>
      </c>
      <c r="K25" s="19">
        <v>1975</v>
      </c>
      <c r="L25" s="18" t="s">
        <v>192</v>
      </c>
      <c r="M25" s="19">
        <v>50</v>
      </c>
      <c r="N25" s="19" t="s">
        <v>81</v>
      </c>
      <c r="O25" s="19">
        <v>2003</v>
      </c>
      <c r="P25" s="22">
        <v>3498</v>
      </c>
      <c r="Q25" s="17"/>
      <c r="R25" s="17"/>
      <c r="S25" s="17">
        <v>250</v>
      </c>
      <c r="T25" s="17">
        <v>3535</v>
      </c>
      <c r="U25" s="19">
        <v>51</v>
      </c>
      <c r="V25" s="19" t="s">
        <v>81</v>
      </c>
      <c r="W25" s="19"/>
      <c r="X25" s="19" t="s">
        <v>242</v>
      </c>
      <c r="Y25" s="19" t="s">
        <v>312</v>
      </c>
      <c r="Z25" s="19"/>
      <c r="AA25" s="19"/>
      <c r="AB25" s="19"/>
      <c r="AC25" s="19"/>
      <c r="AD25" s="19">
        <v>41608</v>
      </c>
      <c r="AE25" s="24"/>
    </row>
    <row r="26" spans="1:31" x14ac:dyDescent="0.3">
      <c r="A26" s="13"/>
      <c r="B26" s="11"/>
      <c r="C26" s="12">
        <v>8903</v>
      </c>
      <c r="D26" s="13" t="s">
        <v>237</v>
      </c>
      <c r="E26" s="13" t="s">
        <v>238</v>
      </c>
      <c r="F26" s="12" t="s">
        <v>239</v>
      </c>
      <c r="G26" s="14">
        <v>46619</v>
      </c>
      <c r="H26" s="13">
        <v>8542857</v>
      </c>
      <c r="I26" s="15" t="s">
        <v>310</v>
      </c>
      <c r="J26" s="13" t="s">
        <v>313</v>
      </c>
      <c r="K26" s="13">
        <v>2012</v>
      </c>
      <c r="L26" s="12" t="s">
        <v>192</v>
      </c>
      <c r="M26" s="13">
        <v>14</v>
      </c>
      <c r="N26" s="13" t="s">
        <v>67</v>
      </c>
      <c r="O26" s="13">
        <v>3717</v>
      </c>
      <c r="P26" s="16">
        <v>1837</v>
      </c>
      <c r="Q26" s="11"/>
      <c r="R26" s="11"/>
      <c r="S26" s="11">
        <v>408</v>
      </c>
      <c r="T26" s="11">
        <v>2300</v>
      </c>
      <c r="U26" s="13">
        <v>14</v>
      </c>
      <c r="V26" s="13" t="s">
        <v>67</v>
      </c>
      <c r="W26" s="13"/>
      <c r="X26" s="13" t="s">
        <v>242</v>
      </c>
      <c r="Y26" s="13" t="s">
        <v>314</v>
      </c>
      <c r="Z26" s="13"/>
      <c r="AA26" s="13"/>
      <c r="AB26" s="13"/>
      <c r="AC26" s="13"/>
      <c r="AD26" s="13">
        <v>46619</v>
      </c>
      <c r="AE26" s="23"/>
    </row>
    <row r="27" spans="1:31" x14ac:dyDescent="0.3">
      <c r="A27" s="19"/>
      <c r="B27" s="17"/>
      <c r="C27" s="18">
        <v>8903</v>
      </c>
      <c r="D27" s="19" t="s">
        <v>237</v>
      </c>
      <c r="E27" s="19" t="s">
        <v>238</v>
      </c>
      <c r="F27" s="18" t="s">
        <v>239</v>
      </c>
      <c r="G27" s="20">
        <v>46598</v>
      </c>
      <c r="H27" s="19">
        <v>433311</v>
      </c>
      <c r="I27" s="21" t="s">
        <v>315</v>
      </c>
      <c r="J27" s="19" t="s">
        <v>316</v>
      </c>
      <c r="K27" s="19">
        <v>2011</v>
      </c>
      <c r="L27" s="18" t="s">
        <v>72</v>
      </c>
      <c r="M27" s="19">
        <v>116</v>
      </c>
      <c r="N27" s="19" t="s">
        <v>317</v>
      </c>
      <c r="O27" s="19">
        <v>4179</v>
      </c>
      <c r="P27" s="22">
        <v>1195</v>
      </c>
      <c r="Q27" s="17"/>
      <c r="R27" s="17"/>
      <c r="S27" s="17"/>
      <c r="T27" s="17"/>
      <c r="U27" s="19">
        <v>15</v>
      </c>
      <c r="V27" s="19" t="s">
        <v>282</v>
      </c>
      <c r="W27" s="19"/>
      <c r="X27" s="19" t="s">
        <v>242</v>
      </c>
      <c r="Y27" s="19" t="s">
        <v>318</v>
      </c>
      <c r="Z27" s="19"/>
      <c r="AA27" s="19"/>
      <c r="AB27" s="19"/>
      <c r="AC27" s="19"/>
      <c r="AD27" s="19">
        <v>46598</v>
      </c>
      <c r="AE27" s="24"/>
    </row>
    <row r="28" spans="1:31" x14ac:dyDescent="0.3">
      <c r="A28" s="13"/>
      <c r="B28" s="11"/>
      <c r="C28" s="12">
        <v>8903</v>
      </c>
      <c r="D28" s="13" t="s">
        <v>237</v>
      </c>
      <c r="E28" s="13" t="s">
        <v>238</v>
      </c>
      <c r="F28" s="12" t="s">
        <v>239</v>
      </c>
      <c r="G28" s="14">
        <v>46459</v>
      </c>
      <c r="H28" s="13">
        <v>2024050</v>
      </c>
      <c r="I28" s="15" t="s">
        <v>315</v>
      </c>
      <c r="J28" s="13" t="s">
        <v>319</v>
      </c>
      <c r="K28" s="13">
        <v>2017</v>
      </c>
      <c r="L28" s="12" t="s">
        <v>72</v>
      </c>
      <c r="M28" s="13">
        <v>110</v>
      </c>
      <c r="N28" s="13" t="s">
        <v>170</v>
      </c>
      <c r="O28" s="13"/>
      <c r="P28" s="16"/>
      <c r="Q28" s="11"/>
      <c r="R28" s="11"/>
      <c r="S28" s="11"/>
      <c r="T28" s="11"/>
      <c r="U28" s="13">
        <v>9</v>
      </c>
      <c r="V28" s="13" t="s">
        <v>170</v>
      </c>
      <c r="W28" s="13"/>
      <c r="X28" s="13" t="s">
        <v>242</v>
      </c>
      <c r="Y28" s="13" t="s">
        <v>320</v>
      </c>
      <c r="Z28" s="13"/>
      <c r="AA28" s="13"/>
      <c r="AB28" s="13"/>
      <c r="AC28" s="13"/>
      <c r="AD28" s="13"/>
      <c r="AE28" s="23"/>
    </row>
    <row r="29" spans="1:31" x14ac:dyDescent="0.3">
      <c r="A29" s="19"/>
      <c r="B29" s="17"/>
      <c r="C29" s="18">
        <v>8903</v>
      </c>
      <c r="D29" s="19" t="s">
        <v>237</v>
      </c>
      <c r="E29" s="19" t="s">
        <v>238</v>
      </c>
      <c r="F29" s="18" t="s">
        <v>239</v>
      </c>
      <c r="G29" s="20">
        <v>50193</v>
      </c>
      <c r="H29" s="19">
        <v>2107869</v>
      </c>
      <c r="I29" s="21" t="s">
        <v>321</v>
      </c>
      <c r="J29" s="19" t="s">
        <v>301</v>
      </c>
      <c r="K29" s="19">
        <v>1987</v>
      </c>
      <c r="L29" s="18" t="s">
        <v>192</v>
      </c>
      <c r="M29" s="19">
        <v>35</v>
      </c>
      <c r="N29" s="19" t="s">
        <v>294</v>
      </c>
      <c r="O29" s="19"/>
      <c r="P29" s="22"/>
      <c r="Q29" s="17"/>
      <c r="R29" s="17"/>
      <c r="S29" s="17"/>
      <c r="T29" s="17"/>
      <c r="U29" s="19">
        <v>39</v>
      </c>
      <c r="V29" s="19" t="s">
        <v>99</v>
      </c>
      <c r="W29" s="19"/>
      <c r="X29" s="19" t="s">
        <v>242</v>
      </c>
      <c r="Y29" s="19" t="s">
        <v>322</v>
      </c>
      <c r="Z29" s="19"/>
      <c r="AA29" s="19"/>
      <c r="AB29" s="19"/>
      <c r="AC29" s="19"/>
      <c r="AD29" s="19"/>
      <c r="AE29" s="24"/>
    </row>
    <row r="30" spans="1:31" x14ac:dyDescent="0.3">
      <c r="A30" s="13"/>
      <c r="B30" s="11"/>
      <c r="C30" s="12">
        <v>8903</v>
      </c>
      <c r="D30" s="13" t="s">
        <v>237</v>
      </c>
      <c r="E30" s="13" t="s">
        <v>238</v>
      </c>
      <c r="F30" s="12" t="s">
        <v>239</v>
      </c>
      <c r="G30" s="14">
        <v>843656</v>
      </c>
      <c r="H30" s="13">
        <v>1890303</v>
      </c>
      <c r="I30" s="15" t="s">
        <v>323</v>
      </c>
      <c r="J30" s="13" t="s">
        <v>324</v>
      </c>
      <c r="K30" s="13">
        <v>1977</v>
      </c>
      <c r="L30" s="12" t="s">
        <v>192</v>
      </c>
      <c r="M30" s="13">
        <v>45</v>
      </c>
      <c r="N30" s="13" t="s">
        <v>260</v>
      </c>
      <c r="O30" s="13"/>
      <c r="P30" s="16"/>
      <c r="Q30" s="11"/>
      <c r="R30" s="11"/>
      <c r="S30" s="11"/>
      <c r="T30" s="11"/>
      <c r="U30" s="13">
        <v>49</v>
      </c>
      <c r="V30" s="13" t="s">
        <v>164</v>
      </c>
      <c r="W30" s="13"/>
      <c r="X30" s="13" t="s">
        <v>325</v>
      </c>
      <c r="Y30" s="13" t="s">
        <v>326</v>
      </c>
      <c r="Z30" s="13"/>
      <c r="AA30" s="13"/>
      <c r="AB30" s="13"/>
      <c r="AC30" s="13"/>
      <c r="AD30" s="13"/>
      <c r="AE30" s="23"/>
    </row>
    <row r="31" spans="1:31" x14ac:dyDescent="0.3">
      <c r="A31" s="19"/>
      <c r="B31" s="17"/>
      <c r="C31" s="18">
        <v>8903</v>
      </c>
      <c r="D31" s="19" t="s">
        <v>237</v>
      </c>
      <c r="E31" s="19" t="s">
        <v>238</v>
      </c>
      <c r="F31" s="18" t="s">
        <v>239</v>
      </c>
      <c r="G31" s="20">
        <v>10809</v>
      </c>
      <c r="H31" s="19">
        <v>8008903</v>
      </c>
      <c r="I31" s="21" t="s">
        <v>327</v>
      </c>
      <c r="J31" s="19" t="s">
        <v>328</v>
      </c>
      <c r="K31" s="19">
        <v>1958</v>
      </c>
      <c r="L31" s="18" t="s">
        <v>192</v>
      </c>
      <c r="M31" s="19">
        <v>65</v>
      </c>
      <c r="N31" s="19" t="s">
        <v>74</v>
      </c>
      <c r="O31" s="19">
        <v>1077</v>
      </c>
      <c r="P31" s="22">
        <v>4342</v>
      </c>
      <c r="Q31" s="17">
        <v>711</v>
      </c>
      <c r="R31" s="17">
        <v>4492</v>
      </c>
      <c r="S31" s="17"/>
      <c r="T31" s="17"/>
      <c r="U31" s="19">
        <v>68</v>
      </c>
      <c r="V31" s="19" t="s">
        <v>246</v>
      </c>
      <c r="W31" s="19"/>
      <c r="X31" s="19" t="s">
        <v>242</v>
      </c>
      <c r="Y31" s="19" t="s">
        <v>329</v>
      </c>
      <c r="Z31" s="19"/>
      <c r="AA31" s="19"/>
      <c r="AB31" s="19"/>
      <c r="AC31" s="19"/>
      <c r="AD31" s="19">
        <v>10809</v>
      </c>
      <c r="AE31" s="24"/>
    </row>
    <row r="32" spans="1:31" x14ac:dyDescent="0.3">
      <c r="A32" s="13"/>
      <c r="B32" s="11"/>
      <c r="C32" s="12">
        <v>8903</v>
      </c>
      <c r="D32" s="13" t="s">
        <v>237</v>
      </c>
      <c r="E32" s="13" t="s">
        <v>238</v>
      </c>
      <c r="F32" s="12" t="s">
        <v>239</v>
      </c>
      <c r="G32" s="14">
        <v>45975</v>
      </c>
      <c r="H32" s="13">
        <v>7860331</v>
      </c>
      <c r="I32" s="15" t="s">
        <v>330</v>
      </c>
      <c r="J32" s="13" t="s">
        <v>331</v>
      </c>
      <c r="K32" s="13">
        <v>1986</v>
      </c>
      <c r="L32" s="12" t="s">
        <v>72</v>
      </c>
      <c r="M32" s="13">
        <v>140</v>
      </c>
      <c r="N32" s="13" t="s">
        <v>183</v>
      </c>
      <c r="O32" s="13">
        <v>4189</v>
      </c>
      <c r="P32" s="16">
        <v>1185</v>
      </c>
      <c r="Q32" s="11"/>
      <c r="R32" s="11"/>
      <c r="S32" s="11"/>
      <c r="T32" s="11"/>
      <c r="U32" s="13">
        <v>40</v>
      </c>
      <c r="V32" s="13" t="s">
        <v>183</v>
      </c>
      <c r="W32" s="13"/>
      <c r="X32" s="13" t="s">
        <v>242</v>
      </c>
      <c r="Y32" s="13" t="s">
        <v>332</v>
      </c>
      <c r="Z32" s="13"/>
      <c r="AA32" s="13"/>
      <c r="AB32" s="13"/>
      <c r="AC32" s="13"/>
      <c r="AD32" s="13">
        <v>45975</v>
      </c>
      <c r="AE32" s="23"/>
    </row>
    <row r="33" spans="1:31" x14ac:dyDescent="0.3">
      <c r="A33" s="19"/>
      <c r="B33" s="17"/>
      <c r="C33" s="18">
        <v>8903</v>
      </c>
      <c r="D33" s="19" t="s">
        <v>237</v>
      </c>
      <c r="E33" s="19" t="s">
        <v>238</v>
      </c>
      <c r="F33" s="18" t="s">
        <v>239</v>
      </c>
      <c r="G33" s="20">
        <v>27837</v>
      </c>
      <c r="H33" s="19">
        <v>8890304</v>
      </c>
      <c r="I33" s="21" t="s">
        <v>333</v>
      </c>
      <c r="J33" s="19" t="s">
        <v>334</v>
      </c>
      <c r="K33" s="19">
        <v>1970</v>
      </c>
      <c r="L33" s="18" t="s">
        <v>72</v>
      </c>
      <c r="M33" s="19">
        <v>155</v>
      </c>
      <c r="N33" s="19" t="s">
        <v>298</v>
      </c>
      <c r="O33" s="19">
        <v>2626</v>
      </c>
      <c r="P33" s="22">
        <v>2949</v>
      </c>
      <c r="Q33" s="17">
        <v>1651</v>
      </c>
      <c r="R33" s="17">
        <v>3211</v>
      </c>
      <c r="S33" s="17">
        <v>325</v>
      </c>
      <c r="T33" s="17">
        <v>3021</v>
      </c>
      <c r="U33" s="19">
        <v>56</v>
      </c>
      <c r="V33" s="19" t="s">
        <v>140</v>
      </c>
      <c r="W33" s="19"/>
      <c r="X33" s="19" t="s">
        <v>242</v>
      </c>
      <c r="Y33" s="19" t="s">
        <v>335</v>
      </c>
      <c r="Z33" s="19"/>
      <c r="AA33" s="19"/>
      <c r="AB33" s="19"/>
      <c r="AC33" s="19"/>
      <c r="AD33" s="19">
        <v>27837</v>
      </c>
      <c r="AE33" s="24"/>
    </row>
    <row r="34" spans="1:31" x14ac:dyDescent="0.3">
      <c r="A34" s="13"/>
      <c r="B34" s="11"/>
      <c r="C34" s="12">
        <v>8903</v>
      </c>
      <c r="D34" s="13" t="s">
        <v>237</v>
      </c>
      <c r="E34" s="13" t="s">
        <v>238</v>
      </c>
      <c r="F34" s="12" t="s">
        <v>239</v>
      </c>
      <c r="G34" s="14">
        <v>12192</v>
      </c>
      <c r="H34" s="13">
        <v>8890303</v>
      </c>
      <c r="I34" s="15" t="s">
        <v>336</v>
      </c>
      <c r="J34" s="13" t="s">
        <v>337</v>
      </c>
      <c r="K34" s="13">
        <v>1950</v>
      </c>
      <c r="L34" s="12" t="s">
        <v>192</v>
      </c>
      <c r="M34" s="13">
        <v>75</v>
      </c>
      <c r="N34" s="13" t="s">
        <v>125</v>
      </c>
      <c r="O34" s="13">
        <v>3490</v>
      </c>
      <c r="P34" s="16">
        <v>2112</v>
      </c>
      <c r="Q34" s="11"/>
      <c r="R34" s="11"/>
      <c r="S34" s="11"/>
      <c r="T34" s="11"/>
      <c r="U34" s="13">
        <v>76</v>
      </c>
      <c r="V34" s="13" t="s">
        <v>125</v>
      </c>
      <c r="W34" s="13"/>
      <c r="X34" s="13" t="s">
        <v>242</v>
      </c>
      <c r="Y34" s="13" t="s">
        <v>338</v>
      </c>
      <c r="Z34" s="13"/>
      <c r="AA34" s="13"/>
      <c r="AB34" s="13"/>
      <c r="AC34" s="13"/>
      <c r="AD34" s="13">
        <v>12192</v>
      </c>
      <c r="AE34" s="23"/>
    </row>
    <row r="35" spans="1:31" x14ac:dyDescent="0.3">
      <c r="A35" s="19"/>
      <c r="B35" s="17"/>
      <c r="C35" s="18">
        <v>8903</v>
      </c>
      <c r="D35" s="19" t="s">
        <v>237</v>
      </c>
      <c r="E35" s="19" t="s">
        <v>238</v>
      </c>
      <c r="F35" s="18" t="s">
        <v>239</v>
      </c>
      <c r="G35" s="20">
        <v>29450</v>
      </c>
      <c r="H35" s="19">
        <v>1890308</v>
      </c>
      <c r="I35" s="21" t="s">
        <v>339</v>
      </c>
      <c r="J35" s="19" t="s">
        <v>340</v>
      </c>
      <c r="K35" s="19">
        <v>1961</v>
      </c>
      <c r="L35" s="18" t="s">
        <v>192</v>
      </c>
      <c r="M35" s="19">
        <v>65</v>
      </c>
      <c r="N35" s="19" t="s">
        <v>74</v>
      </c>
      <c r="O35" s="19">
        <v>2768</v>
      </c>
      <c r="P35" s="22">
        <v>2819</v>
      </c>
      <c r="Q35" s="17">
        <v>1757</v>
      </c>
      <c r="R35" s="17">
        <v>3073</v>
      </c>
      <c r="S35" s="17"/>
      <c r="T35" s="17"/>
      <c r="U35" s="19">
        <v>65</v>
      </c>
      <c r="V35" s="19" t="s">
        <v>246</v>
      </c>
      <c r="W35" s="19"/>
      <c r="X35" s="19" t="s">
        <v>242</v>
      </c>
      <c r="Y35" s="19" t="s">
        <v>341</v>
      </c>
      <c r="Z35" s="19"/>
      <c r="AA35" s="19"/>
      <c r="AB35" s="19"/>
      <c r="AC35" s="19"/>
      <c r="AD35" s="19">
        <v>29450</v>
      </c>
      <c r="AE35" s="24"/>
    </row>
    <row r="36" spans="1:31" x14ac:dyDescent="0.3">
      <c r="A36" s="13"/>
      <c r="B36" s="11"/>
      <c r="C36" s="12">
        <v>8903</v>
      </c>
      <c r="D36" s="13" t="s">
        <v>237</v>
      </c>
      <c r="E36" s="13" t="s">
        <v>238</v>
      </c>
      <c r="F36" s="12" t="s">
        <v>239</v>
      </c>
      <c r="G36" s="14">
        <v>49692</v>
      </c>
      <c r="H36" s="13">
        <v>2158056</v>
      </c>
      <c r="I36" s="15" t="s">
        <v>342</v>
      </c>
      <c r="J36" s="13" t="s">
        <v>343</v>
      </c>
      <c r="K36" s="13">
        <v>1983</v>
      </c>
      <c r="L36" s="12" t="s">
        <v>72</v>
      </c>
      <c r="M36" s="13">
        <v>140</v>
      </c>
      <c r="N36" s="13" t="s">
        <v>183</v>
      </c>
      <c r="O36" s="13">
        <v>3365</v>
      </c>
      <c r="P36" s="16">
        <v>2223</v>
      </c>
      <c r="Q36" s="11">
        <v>2144</v>
      </c>
      <c r="R36" s="11">
        <v>2436</v>
      </c>
      <c r="S36" s="11"/>
      <c r="T36" s="11"/>
      <c r="U36" s="13">
        <v>43</v>
      </c>
      <c r="V36" s="13" t="s">
        <v>183</v>
      </c>
      <c r="W36" s="13"/>
      <c r="X36" s="13" t="s">
        <v>242</v>
      </c>
      <c r="Y36" s="13" t="s">
        <v>344</v>
      </c>
      <c r="Z36" s="13"/>
      <c r="AA36" s="13"/>
      <c r="AB36" s="13"/>
      <c r="AC36" s="13"/>
      <c r="AD36" s="13">
        <v>49692</v>
      </c>
      <c r="AE36" s="23"/>
    </row>
    <row r="37" spans="1:31" x14ac:dyDescent="0.3">
      <c r="A37" s="19"/>
      <c r="B37" s="17"/>
      <c r="C37" s="18">
        <v>8903</v>
      </c>
      <c r="D37" s="19" t="s">
        <v>237</v>
      </c>
      <c r="E37" s="19" t="s">
        <v>238</v>
      </c>
      <c r="F37" s="18" t="s">
        <v>239</v>
      </c>
      <c r="G37" s="20">
        <v>24441</v>
      </c>
      <c r="H37" s="19">
        <v>8890301</v>
      </c>
      <c r="I37" s="21" t="s">
        <v>345</v>
      </c>
      <c r="J37" s="19" t="s">
        <v>346</v>
      </c>
      <c r="K37" s="19">
        <v>2000</v>
      </c>
      <c r="L37" s="18" t="s">
        <v>72</v>
      </c>
      <c r="M37" s="19">
        <v>121</v>
      </c>
      <c r="N37" s="19" t="s">
        <v>78</v>
      </c>
      <c r="O37" s="19">
        <v>2184</v>
      </c>
      <c r="P37" s="22">
        <v>3330</v>
      </c>
      <c r="Q37" s="17">
        <v>1324</v>
      </c>
      <c r="R37" s="17">
        <v>3644</v>
      </c>
      <c r="S37" s="17"/>
      <c r="T37" s="17"/>
      <c r="U37" s="19">
        <v>26</v>
      </c>
      <c r="V37" s="19" t="s">
        <v>78</v>
      </c>
      <c r="W37" s="19"/>
      <c r="X37" s="19" t="s">
        <v>242</v>
      </c>
      <c r="Y37" s="19" t="s">
        <v>347</v>
      </c>
      <c r="Z37" s="19"/>
      <c r="AA37" s="19"/>
      <c r="AB37" s="19"/>
      <c r="AC37" s="19"/>
      <c r="AD37" s="19">
        <v>24441</v>
      </c>
      <c r="AE37" s="24"/>
    </row>
    <row r="38" spans="1:31" x14ac:dyDescent="0.3">
      <c r="A38" s="13"/>
      <c r="B38" s="11"/>
      <c r="C38" s="12">
        <v>8903</v>
      </c>
      <c r="D38" s="13" t="s">
        <v>237</v>
      </c>
      <c r="E38" s="13" t="s">
        <v>238</v>
      </c>
      <c r="F38" s="12" t="s">
        <v>239</v>
      </c>
      <c r="G38" s="14">
        <v>23131</v>
      </c>
      <c r="H38" s="13">
        <v>8280173</v>
      </c>
      <c r="I38" s="15" t="s">
        <v>345</v>
      </c>
      <c r="J38" s="13" t="s">
        <v>348</v>
      </c>
      <c r="K38" s="13">
        <v>1973</v>
      </c>
      <c r="L38" s="12" t="s">
        <v>192</v>
      </c>
      <c r="M38" s="13">
        <v>50</v>
      </c>
      <c r="N38" s="13" t="s">
        <v>81</v>
      </c>
      <c r="O38" s="13">
        <v>840</v>
      </c>
      <c r="P38" s="16">
        <v>4671</v>
      </c>
      <c r="Q38" s="11">
        <v>660</v>
      </c>
      <c r="R38" s="11">
        <v>4582</v>
      </c>
      <c r="S38" s="11">
        <v>137</v>
      </c>
      <c r="T38" s="11">
        <v>4375</v>
      </c>
      <c r="U38" s="13">
        <v>53</v>
      </c>
      <c r="V38" s="13" t="s">
        <v>81</v>
      </c>
      <c r="W38" s="13"/>
      <c r="X38" s="13" t="s">
        <v>242</v>
      </c>
      <c r="Y38" s="13" t="s">
        <v>349</v>
      </c>
      <c r="Z38" s="13"/>
      <c r="AA38" s="13"/>
      <c r="AB38" s="13"/>
      <c r="AC38" s="13"/>
      <c r="AD38" s="13">
        <v>23131</v>
      </c>
      <c r="AE38" s="23"/>
    </row>
    <row r="39" spans="1:31" x14ac:dyDescent="0.3">
      <c r="A39" s="19"/>
      <c r="B39" s="17"/>
      <c r="C39" s="18">
        <v>8903</v>
      </c>
      <c r="D39" s="19" t="s">
        <v>237</v>
      </c>
      <c r="E39" s="19" t="s">
        <v>238</v>
      </c>
      <c r="F39" s="18" t="s">
        <v>239</v>
      </c>
      <c r="G39" s="20">
        <v>29218</v>
      </c>
      <c r="H39" s="19">
        <v>8212535</v>
      </c>
      <c r="I39" s="21" t="s">
        <v>345</v>
      </c>
      <c r="J39" s="19" t="s">
        <v>350</v>
      </c>
      <c r="K39" s="19">
        <v>2006</v>
      </c>
      <c r="L39" s="18" t="s">
        <v>192</v>
      </c>
      <c r="M39" s="19">
        <v>20</v>
      </c>
      <c r="N39" s="19" t="s">
        <v>351</v>
      </c>
      <c r="O39" s="19">
        <v>2159</v>
      </c>
      <c r="P39" s="22">
        <v>3355</v>
      </c>
      <c r="Q39" s="17">
        <v>1332</v>
      </c>
      <c r="R39" s="17">
        <v>3633</v>
      </c>
      <c r="S39" s="17"/>
      <c r="T39" s="17"/>
      <c r="U39" s="19">
        <v>20</v>
      </c>
      <c r="V39" s="19" t="s">
        <v>351</v>
      </c>
      <c r="W39" s="19"/>
      <c r="X39" s="19" t="s">
        <v>242</v>
      </c>
      <c r="Y39" s="19" t="s">
        <v>352</v>
      </c>
      <c r="Z39" s="19"/>
      <c r="AA39" s="19"/>
      <c r="AB39" s="19"/>
      <c r="AC39" s="19"/>
      <c r="AD39" s="19">
        <v>29218</v>
      </c>
      <c r="AE39" s="24"/>
    </row>
    <row r="40" spans="1:31" x14ac:dyDescent="0.3">
      <c r="A40" s="13"/>
      <c r="B40" s="11"/>
      <c r="C40" s="12">
        <v>8903</v>
      </c>
      <c r="D40" s="13" t="s">
        <v>237</v>
      </c>
      <c r="E40" s="13" t="s">
        <v>238</v>
      </c>
      <c r="F40" s="12" t="s">
        <v>239</v>
      </c>
      <c r="G40" s="14">
        <v>13842</v>
      </c>
      <c r="H40" s="13">
        <v>1890307</v>
      </c>
      <c r="I40" s="15" t="s">
        <v>353</v>
      </c>
      <c r="J40" s="13" t="s">
        <v>354</v>
      </c>
      <c r="K40" s="13">
        <v>1958</v>
      </c>
      <c r="L40" s="12" t="s">
        <v>72</v>
      </c>
      <c r="M40" s="13">
        <v>165</v>
      </c>
      <c r="N40" s="13" t="s">
        <v>144</v>
      </c>
      <c r="O40" s="13">
        <v>4316</v>
      </c>
      <c r="P40" s="16">
        <v>867</v>
      </c>
      <c r="Q40" s="11">
        <v>2435</v>
      </c>
      <c r="R40" s="11">
        <v>1511</v>
      </c>
      <c r="S40" s="11"/>
      <c r="T40" s="11"/>
      <c r="U40" s="13">
        <v>68</v>
      </c>
      <c r="V40" s="13" t="s">
        <v>355</v>
      </c>
      <c r="W40" s="13"/>
      <c r="X40" s="13" t="s">
        <v>242</v>
      </c>
      <c r="Y40" s="13" t="s">
        <v>356</v>
      </c>
      <c r="Z40" s="13"/>
      <c r="AA40" s="13"/>
      <c r="AB40" s="13"/>
      <c r="AC40" s="13"/>
      <c r="AD40" s="13">
        <v>13842</v>
      </c>
      <c r="AE40" s="23"/>
    </row>
    <row r="41" spans="1:31" x14ac:dyDescent="0.3">
      <c r="A41" s="19"/>
      <c r="B41" s="17"/>
      <c r="C41" s="18">
        <v>8903</v>
      </c>
      <c r="D41" s="19" t="s">
        <v>237</v>
      </c>
      <c r="E41" s="19" t="s">
        <v>238</v>
      </c>
      <c r="F41" s="18" t="s">
        <v>239</v>
      </c>
      <c r="G41" s="20">
        <v>15021</v>
      </c>
      <c r="H41" s="19">
        <v>8005961</v>
      </c>
      <c r="I41" s="21" t="s">
        <v>357</v>
      </c>
      <c r="J41" s="19" t="s">
        <v>340</v>
      </c>
      <c r="K41" s="19">
        <v>1961</v>
      </c>
      <c r="L41" s="18" t="s">
        <v>192</v>
      </c>
      <c r="M41" s="19">
        <v>65</v>
      </c>
      <c r="N41" s="19" t="s">
        <v>74</v>
      </c>
      <c r="O41" s="19">
        <v>1763</v>
      </c>
      <c r="P41" s="22">
        <v>3700</v>
      </c>
      <c r="Q41" s="17">
        <v>1226</v>
      </c>
      <c r="R41" s="17">
        <v>3757</v>
      </c>
      <c r="S41" s="17">
        <v>255</v>
      </c>
      <c r="T41" s="17">
        <v>3522</v>
      </c>
      <c r="U41" s="19">
        <v>65</v>
      </c>
      <c r="V41" s="19" t="s">
        <v>246</v>
      </c>
      <c r="W41" s="19"/>
      <c r="X41" s="19" t="s">
        <v>242</v>
      </c>
      <c r="Y41" s="19" t="s">
        <v>358</v>
      </c>
      <c r="Z41" s="19"/>
      <c r="AA41" s="19"/>
      <c r="AB41" s="19"/>
      <c r="AC41" s="19"/>
      <c r="AD41" s="19">
        <v>15021</v>
      </c>
      <c r="AE41" s="24"/>
    </row>
    <row r="42" spans="1:31" x14ac:dyDescent="0.3">
      <c r="A42" s="13"/>
      <c r="B42" s="11"/>
      <c r="C42" s="12">
        <v>8903</v>
      </c>
      <c r="D42" s="13" t="s">
        <v>237</v>
      </c>
      <c r="E42" s="13" t="s">
        <v>238</v>
      </c>
      <c r="F42" s="12" t="s">
        <v>239</v>
      </c>
      <c r="G42" s="14">
        <v>38552</v>
      </c>
      <c r="H42" s="13">
        <v>8533480</v>
      </c>
      <c r="I42" s="15" t="s">
        <v>359</v>
      </c>
      <c r="J42" s="13" t="s">
        <v>360</v>
      </c>
      <c r="K42" s="13">
        <v>1983</v>
      </c>
      <c r="L42" s="12" t="s">
        <v>192</v>
      </c>
      <c r="M42" s="13">
        <v>40</v>
      </c>
      <c r="N42" s="13" t="s">
        <v>164</v>
      </c>
      <c r="O42" s="13">
        <v>797</v>
      </c>
      <c r="P42" s="16">
        <v>4731</v>
      </c>
      <c r="Q42" s="11">
        <v>765</v>
      </c>
      <c r="R42" s="11">
        <v>4400</v>
      </c>
      <c r="S42" s="11"/>
      <c r="T42" s="11"/>
      <c r="U42" s="13">
        <v>43</v>
      </c>
      <c r="V42" s="13" t="s">
        <v>164</v>
      </c>
      <c r="W42" s="13"/>
      <c r="X42" s="13" t="s">
        <v>242</v>
      </c>
      <c r="Y42" s="13" t="s">
        <v>361</v>
      </c>
      <c r="Z42" s="13"/>
      <c r="AA42" s="13"/>
      <c r="AB42" s="13"/>
      <c r="AC42" s="13"/>
      <c r="AD42" s="13">
        <v>38552</v>
      </c>
      <c r="AE42" s="23"/>
    </row>
    <row r="43" spans="1:31" x14ac:dyDescent="0.3">
      <c r="A43" s="19"/>
      <c r="B43" s="17"/>
      <c r="C43" s="18">
        <v>8903</v>
      </c>
      <c r="D43" s="19" t="s">
        <v>237</v>
      </c>
      <c r="E43" s="19" t="s">
        <v>238</v>
      </c>
      <c r="F43" s="18" t="s">
        <v>239</v>
      </c>
      <c r="G43" s="20">
        <v>40752</v>
      </c>
      <c r="H43" s="19">
        <v>2107868</v>
      </c>
      <c r="I43" s="21" t="s">
        <v>362</v>
      </c>
      <c r="J43" s="19" t="s">
        <v>363</v>
      </c>
      <c r="K43" s="19">
        <v>2010</v>
      </c>
      <c r="L43" s="18" t="s">
        <v>72</v>
      </c>
      <c r="M43" s="19">
        <v>116</v>
      </c>
      <c r="N43" s="19" t="s">
        <v>317</v>
      </c>
      <c r="O43" s="19">
        <v>3759</v>
      </c>
      <c r="P43" s="22">
        <v>1788</v>
      </c>
      <c r="Q43" s="17"/>
      <c r="R43" s="17"/>
      <c r="S43" s="17"/>
      <c r="T43" s="17"/>
      <c r="U43" s="19">
        <v>16</v>
      </c>
      <c r="V43" s="19" t="s">
        <v>282</v>
      </c>
      <c r="W43" s="19"/>
      <c r="X43" s="19" t="s">
        <v>242</v>
      </c>
      <c r="Y43" s="19" t="s">
        <v>364</v>
      </c>
      <c r="Z43" s="19"/>
      <c r="AA43" s="19"/>
      <c r="AB43" s="19"/>
      <c r="AC43" s="19"/>
      <c r="AD43" s="19">
        <v>40752</v>
      </c>
      <c r="AE43" s="24"/>
    </row>
    <row r="44" spans="1:31" x14ac:dyDescent="0.3">
      <c r="A44" s="13"/>
      <c r="B44" s="11"/>
      <c r="C44" s="12">
        <v>8903</v>
      </c>
      <c r="D44" s="13" t="s">
        <v>237</v>
      </c>
      <c r="E44" s="13" t="s">
        <v>238</v>
      </c>
      <c r="F44" s="12" t="s">
        <v>239</v>
      </c>
      <c r="G44" s="14">
        <v>38553</v>
      </c>
      <c r="H44" s="13">
        <v>349306</v>
      </c>
      <c r="I44" s="15" t="s">
        <v>362</v>
      </c>
      <c r="J44" s="13" t="s">
        <v>365</v>
      </c>
      <c r="K44" s="13">
        <v>2007</v>
      </c>
      <c r="L44" s="12" t="s">
        <v>192</v>
      </c>
      <c r="M44" s="13">
        <v>20</v>
      </c>
      <c r="N44" s="13" t="s">
        <v>351</v>
      </c>
      <c r="O44" s="13">
        <v>2491</v>
      </c>
      <c r="P44" s="16">
        <v>3071</v>
      </c>
      <c r="Q44" s="11">
        <v>1485</v>
      </c>
      <c r="R44" s="11">
        <v>3429</v>
      </c>
      <c r="S44" s="11"/>
      <c r="T44" s="11"/>
      <c r="U44" s="13">
        <v>19</v>
      </c>
      <c r="V44" s="13" t="s">
        <v>351</v>
      </c>
      <c r="W44" s="13"/>
      <c r="X44" s="13" t="s">
        <v>242</v>
      </c>
      <c r="Y44" s="13" t="s">
        <v>366</v>
      </c>
      <c r="Z44" s="13"/>
      <c r="AA44" s="13"/>
      <c r="AB44" s="13"/>
      <c r="AC44" s="13"/>
      <c r="AD44" s="13">
        <v>38553</v>
      </c>
      <c r="AE44" s="23"/>
    </row>
    <row r="45" spans="1:31" x14ac:dyDescent="0.3">
      <c r="A45" s="19"/>
      <c r="B45" s="17"/>
      <c r="C45" s="18">
        <v>8903</v>
      </c>
      <c r="D45" s="19" t="s">
        <v>237</v>
      </c>
      <c r="E45" s="19" t="s">
        <v>238</v>
      </c>
      <c r="F45" s="18" t="s">
        <v>239</v>
      </c>
      <c r="G45" s="20">
        <v>937729</v>
      </c>
      <c r="H45" s="19">
        <v>937729</v>
      </c>
      <c r="I45" s="21" t="s">
        <v>367</v>
      </c>
      <c r="J45" s="19" t="s">
        <v>368</v>
      </c>
      <c r="K45" s="19">
        <v>1982</v>
      </c>
      <c r="L45" s="18" t="s">
        <v>72</v>
      </c>
      <c r="M45" s="19">
        <v>140</v>
      </c>
      <c r="N45" s="19" t="s">
        <v>183</v>
      </c>
      <c r="O45" s="19"/>
      <c r="P45" s="22"/>
      <c r="Q45" s="17"/>
      <c r="R45" s="17"/>
      <c r="S45" s="17"/>
      <c r="T45" s="17"/>
      <c r="U45" s="19">
        <v>44</v>
      </c>
      <c r="V45" s="19" t="s">
        <v>183</v>
      </c>
      <c r="W45" s="19"/>
      <c r="X45" s="19" t="s">
        <v>369</v>
      </c>
      <c r="Y45" s="19" t="s">
        <v>370</v>
      </c>
      <c r="Z45" s="19"/>
      <c r="AA45" s="19"/>
      <c r="AB45" s="19"/>
      <c r="AC45" s="19"/>
      <c r="AD45" s="19"/>
      <c r="AE45" s="24"/>
    </row>
    <row r="46" spans="1:31" x14ac:dyDescent="0.3">
      <c r="A46" s="13"/>
      <c r="B46" s="11"/>
      <c r="C46" s="12">
        <v>8903</v>
      </c>
      <c r="D46" s="13" t="s">
        <v>237</v>
      </c>
      <c r="E46" s="13" t="s">
        <v>238</v>
      </c>
      <c r="F46" s="12" t="s">
        <v>239</v>
      </c>
      <c r="G46" s="14">
        <v>30940</v>
      </c>
      <c r="H46" s="13">
        <v>1890304</v>
      </c>
      <c r="I46" s="15" t="s">
        <v>371</v>
      </c>
      <c r="J46" s="13" t="s">
        <v>372</v>
      </c>
      <c r="K46" s="13">
        <v>1972</v>
      </c>
      <c r="L46" s="12" t="s">
        <v>72</v>
      </c>
      <c r="M46" s="13">
        <v>150</v>
      </c>
      <c r="N46" s="13" t="s">
        <v>140</v>
      </c>
      <c r="O46" s="13">
        <v>2437</v>
      </c>
      <c r="P46" s="16">
        <v>3129</v>
      </c>
      <c r="Q46" s="11">
        <v>1681</v>
      </c>
      <c r="R46" s="11">
        <v>3179</v>
      </c>
      <c r="S46" s="11"/>
      <c r="T46" s="11"/>
      <c r="U46" s="13">
        <v>54</v>
      </c>
      <c r="V46" s="13" t="s">
        <v>140</v>
      </c>
      <c r="W46" s="13"/>
      <c r="X46" s="13" t="s">
        <v>242</v>
      </c>
      <c r="Y46" s="13" t="s">
        <v>373</v>
      </c>
      <c r="Z46" s="13"/>
      <c r="AA46" s="13"/>
      <c r="AB46" s="13"/>
      <c r="AC46" s="13"/>
      <c r="AD46" s="13">
        <v>30940</v>
      </c>
      <c r="AE46" s="23"/>
    </row>
    <row r="47" spans="1:31" x14ac:dyDescent="0.3">
      <c r="A47" s="19"/>
      <c r="B47" s="17"/>
      <c r="C47" s="18">
        <v>8903</v>
      </c>
      <c r="D47" s="19" t="s">
        <v>237</v>
      </c>
      <c r="E47" s="19" t="s">
        <v>238</v>
      </c>
      <c r="F47" s="18" t="s">
        <v>239</v>
      </c>
      <c r="G47" s="20">
        <v>2499</v>
      </c>
      <c r="H47" s="19">
        <v>8509002</v>
      </c>
      <c r="I47" s="21" t="s">
        <v>374</v>
      </c>
      <c r="J47" s="19" t="s">
        <v>375</v>
      </c>
      <c r="K47" s="19">
        <v>1971</v>
      </c>
      <c r="L47" s="18" t="s">
        <v>192</v>
      </c>
      <c r="M47" s="19">
        <v>55</v>
      </c>
      <c r="N47" s="19" t="s">
        <v>175</v>
      </c>
      <c r="O47" s="19">
        <v>1289</v>
      </c>
      <c r="P47" s="22">
        <v>4149</v>
      </c>
      <c r="Q47" s="17"/>
      <c r="R47" s="17"/>
      <c r="S47" s="17"/>
      <c r="T47" s="17"/>
      <c r="U47" s="19">
        <v>55</v>
      </c>
      <c r="V47" s="19" t="s">
        <v>81</v>
      </c>
      <c r="W47" s="19"/>
      <c r="X47" s="19" t="s">
        <v>242</v>
      </c>
      <c r="Y47" s="19" t="s">
        <v>376</v>
      </c>
      <c r="Z47" s="19"/>
      <c r="AA47" s="19"/>
      <c r="AB47" s="19"/>
      <c r="AC47" s="19"/>
      <c r="AD47" s="19">
        <v>2499</v>
      </c>
      <c r="AE47" s="24"/>
    </row>
    <row r="48" spans="1:31" x14ac:dyDescent="0.3">
      <c r="A48" s="13"/>
      <c r="B48" s="11"/>
      <c r="C48" s="12">
        <v>8903</v>
      </c>
      <c r="D48" s="13" t="s">
        <v>237</v>
      </c>
      <c r="E48" s="13" t="s">
        <v>238</v>
      </c>
      <c r="F48" s="12" t="s">
        <v>239</v>
      </c>
      <c r="G48" s="14">
        <v>20403</v>
      </c>
      <c r="H48" s="13">
        <v>2025719</v>
      </c>
      <c r="I48" s="15" t="s">
        <v>374</v>
      </c>
      <c r="J48" s="13" t="s">
        <v>377</v>
      </c>
      <c r="K48" s="13">
        <v>2003</v>
      </c>
      <c r="L48" s="12" t="s">
        <v>72</v>
      </c>
      <c r="M48" s="13">
        <v>121</v>
      </c>
      <c r="N48" s="13" t="s">
        <v>78</v>
      </c>
      <c r="O48" s="13"/>
      <c r="P48" s="16"/>
      <c r="Q48" s="11"/>
      <c r="R48" s="11"/>
      <c r="S48" s="11"/>
      <c r="T48" s="11"/>
      <c r="U48" s="13">
        <v>23</v>
      </c>
      <c r="V48" s="13" t="s">
        <v>78</v>
      </c>
      <c r="W48" s="13"/>
      <c r="X48" s="13" t="s">
        <v>242</v>
      </c>
      <c r="Y48" s="13" t="s">
        <v>378</v>
      </c>
      <c r="Z48" s="13"/>
      <c r="AA48" s="13"/>
      <c r="AB48" s="13"/>
      <c r="AC48" s="13"/>
      <c r="AD48" s="13"/>
      <c r="AE48" s="23"/>
    </row>
    <row r="49" spans="1:31" x14ac:dyDescent="0.3">
      <c r="A49" s="19"/>
      <c r="B49" s="17"/>
      <c r="C49" s="18">
        <v>8903</v>
      </c>
      <c r="D49" s="19" t="s">
        <v>237</v>
      </c>
      <c r="E49" s="19" t="s">
        <v>238</v>
      </c>
      <c r="F49" s="18" t="s">
        <v>239</v>
      </c>
      <c r="G49" s="20">
        <v>48037</v>
      </c>
      <c r="H49" s="19">
        <v>2158060</v>
      </c>
      <c r="I49" s="21" t="s">
        <v>379</v>
      </c>
      <c r="J49" s="19" t="s">
        <v>380</v>
      </c>
      <c r="K49" s="19">
        <v>1973</v>
      </c>
      <c r="L49" s="18" t="s">
        <v>72</v>
      </c>
      <c r="M49" s="19">
        <v>150</v>
      </c>
      <c r="N49" s="19" t="s">
        <v>140</v>
      </c>
      <c r="O49" s="19">
        <v>4150</v>
      </c>
      <c r="P49" s="22">
        <v>1267</v>
      </c>
      <c r="Q49" s="17"/>
      <c r="R49" s="17"/>
      <c r="S49" s="17"/>
      <c r="T49" s="17"/>
      <c r="U49" s="19">
        <v>53</v>
      </c>
      <c r="V49" s="19" t="s">
        <v>140</v>
      </c>
      <c r="W49" s="19"/>
      <c r="X49" s="19" t="s">
        <v>242</v>
      </c>
      <c r="Y49" s="19" t="s">
        <v>381</v>
      </c>
      <c r="Z49" s="19"/>
      <c r="AA49" s="19"/>
      <c r="AB49" s="19"/>
      <c r="AC49" s="19"/>
      <c r="AD49" s="19">
        <v>48037</v>
      </c>
      <c r="AE49" s="24"/>
    </row>
    <row r="50" spans="1:31" x14ac:dyDescent="0.3">
      <c r="A50" s="13">
        <v>5803</v>
      </c>
      <c r="B50" s="11">
        <v>39</v>
      </c>
      <c r="C50" s="12">
        <v>5803</v>
      </c>
      <c r="D50" s="13" t="s">
        <v>382</v>
      </c>
      <c r="E50" s="13" t="s">
        <v>383</v>
      </c>
      <c r="F50" s="12" t="s">
        <v>239</v>
      </c>
      <c r="G50" s="14">
        <v>824002</v>
      </c>
      <c r="H50" s="13">
        <v>2020812</v>
      </c>
      <c r="I50" s="15" t="s">
        <v>384</v>
      </c>
      <c r="J50" s="13" t="s">
        <v>385</v>
      </c>
      <c r="K50" s="13">
        <v>1982</v>
      </c>
      <c r="L50" s="12" t="s">
        <v>192</v>
      </c>
      <c r="M50" s="13">
        <v>40</v>
      </c>
      <c r="N50" s="13" t="s">
        <v>164</v>
      </c>
      <c r="O50" s="13"/>
      <c r="P50" s="16"/>
      <c r="Q50" s="11"/>
      <c r="R50" s="11"/>
      <c r="S50" s="11"/>
      <c r="T50" s="11"/>
      <c r="U50" s="13">
        <v>44</v>
      </c>
      <c r="V50" s="13" t="s">
        <v>164</v>
      </c>
      <c r="W50" s="13"/>
      <c r="X50" s="13" t="s">
        <v>325</v>
      </c>
      <c r="Y50" s="13" t="s">
        <v>386</v>
      </c>
      <c r="Z50" s="13">
        <v>19</v>
      </c>
      <c r="AA50" s="13">
        <v>6</v>
      </c>
      <c r="AB50" s="13">
        <v>14</v>
      </c>
      <c r="AC50" s="13">
        <v>0</v>
      </c>
      <c r="AD50" s="13"/>
      <c r="AE50" s="23"/>
    </row>
    <row r="51" spans="1:31" x14ac:dyDescent="0.3">
      <c r="A51" s="19"/>
      <c r="B51" s="17"/>
      <c r="C51" s="18">
        <v>5803</v>
      </c>
      <c r="D51" s="19" t="s">
        <v>382</v>
      </c>
      <c r="E51" s="19" t="s">
        <v>383</v>
      </c>
      <c r="F51" s="18" t="s">
        <v>239</v>
      </c>
      <c r="G51" s="20">
        <v>42702</v>
      </c>
      <c r="H51" s="19">
        <v>8058014</v>
      </c>
      <c r="I51" s="21" t="s">
        <v>387</v>
      </c>
      <c r="J51" s="19" t="s">
        <v>388</v>
      </c>
      <c r="K51" s="19">
        <v>2009</v>
      </c>
      <c r="L51" s="18" t="s">
        <v>72</v>
      </c>
      <c r="M51" s="19">
        <v>118</v>
      </c>
      <c r="N51" s="19" t="s">
        <v>281</v>
      </c>
      <c r="O51" s="19">
        <v>3093</v>
      </c>
      <c r="P51" s="22">
        <v>2519</v>
      </c>
      <c r="Q51" s="17"/>
      <c r="R51" s="17"/>
      <c r="S51" s="17"/>
      <c r="T51" s="17"/>
      <c r="U51" s="19">
        <v>17</v>
      </c>
      <c r="V51" s="19" t="s">
        <v>282</v>
      </c>
      <c r="W51" s="19"/>
      <c r="X51" s="19" t="s">
        <v>242</v>
      </c>
      <c r="Y51" s="19" t="s">
        <v>389</v>
      </c>
      <c r="Z51" s="19"/>
      <c r="AA51" s="19"/>
      <c r="AB51" s="19"/>
      <c r="AC51" s="19"/>
      <c r="AD51" s="19">
        <v>42702</v>
      </c>
      <c r="AE51" s="24"/>
    </row>
    <row r="52" spans="1:31" x14ac:dyDescent="0.3">
      <c r="A52" s="13"/>
      <c r="B52" s="11"/>
      <c r="C52" s="12">
        <v>5803</v>
      </c>
      <c r="D52" s="13" t="s">
        <v>382</v>
      </c>
      <c r="E52" s="13" t="s">
        <v>383</v>
      </c>
      <c r="F52" s="12" t="s">
        <v>239</v>
      </c>
      <c r="G52" s="14">
        <v>31865</v>
      </c>
      <c r="H52" s="13">
        <v>8001968</v>
      </c>
      <c r="I52" s="15" t="s">
        <v>387</v>
      </c>
      <c r="J52" s="13" t="s">
        <v>390</v>
      </c>
      <c r="K52" s="13">
        <v>1980</v>
      </c>
      <c r="L52" s="12" t="s">
        <v>192</v>
      </c>
      <c r="M52" s="13">
        <v>45</v>
      </c>
      <c r="N52" s="13" t="s">
        <v>260</v>
      </c>
      <c r="O52" s="13">
        <v>641</v>
      </c>
      <c r="P52" s="16">
        <v>5026</v>
      </c>
      <c r="Q52" s="11"/>
      <c r="R52" s="11"/>
      <c r="S52" s="11">
        <v>73</v>
      </c>
      <c r="T52" s="11">
        <v>4914</v>
      </c>
      <c r="U52" s="13">
        <v>46</v>
      </c>
      <c r="V52" s="13" t="s">
        <v>164</v>
      </c>
      <c r="W52" s="13"/>
      <c r="X52" s="13" t="s">
        <v>242</v>
      </c>
      <c r="Y52" s="13" t="s">
        <v>391</v>
      </c>
      <c r="Z52" s="13"/>
      <c r="AA52" s="13"/>
      <c r="AB52" s="13"/>
      <c r="AC52" s="13"/>
      <c r="AD52" s="13">
        <v>31865</v>
      </c>
      <c r="AE52" s="23"/>
    </row>
    <row r="53" spans="1:31" x14ac:dyDescent="0.3">
      <c r="A53" s="19"/>
      <c r="B53" s="17"/>
      <c r="C53" s="18">
        <v>5803</v>
      </c>
      <c r="D53" s="19" t="s">
        <v>382</v>
      </c>
      <c r="E53" s="19" t="s">
        <v>383</v>
      </c>
      <c r="F53" s="18" t="s">
        <v>239</v>
      </c>
      <c r="G53" s="20">
        <v>42703</v>
      </c>
      <c r="H53" s="19">
        <v>8058013</v>
      </c>
      <c r="I53" s="21" t="s">
        <v>387</v>
      </c>
      <c r="J53" s="19" t="s">
        <v>392</v>
      </c>
      <c r="K53" s="19">
        <v>2011</v>
      </c>
      <c r="L53" s="18" t="s">
        <v>192</v>
      </c>
      <c r="M53" s="19">
        <v>16</v>
      </c>
      <c r="N53" s="19" t="s">
        <v>393</v>
      </c>
      <c r="O53" s="19"/>
      <c r="P53" s="22"/>
      <c r="Q53" s="17"/>
      <c r="R53" s="17"/>
      <c r="S53" s="17"/>
      <c r="T53" s="17"/>
      <c r="U53" s="19">
        <v>15</v>
      </c>
      <c r="V53" s="19" t="s">
        <v>257</v>
      </c>
      <c r="W53" s="19"/>
      <c r="X53" s="19" t="s">
        <v>242</v>
      </c>
      <c r="Y53" s="19" t="s">
        <v>394</v>
      </c>
      <c r="Z53" s="19"/>
      <c r="AA53" s="19"/>
      <c r="AB53" s="19"/>
      <c r="AC53" s="19"/>
      <c r="AD53" s="19"/>
      <c r="AE53" s="24"/>
    </row>
    <row r="54" spans="1:31" x14ac:dyDescent="0.3">
      <c r="A54" s="13"/>
      <c r="B54" s="11"/>
      <c r="C54" s="12">
        <v>5803</v>
      </c>
      <c r="D54" s="13" t="s">
        <v>382</v>
      </c>
      <c r="E54" s="13" t="s">
        <v>383</v>
      </c>
      <c r="F54" s="12" t="s">
        <v>239</v>
      </c>
      <c r="G54" s="14">
        <v>41014</v>
      </c>
      <c r="H54" s="13"/>
      <c r="I54" s="15" t="s">
        <v>395</v>
      </c>
      <c r="J54" s="13" t="s">
        <v>354</v>
      </c>
      <c r="K54" s="13">
        <v>1965</v>
      </c>
      <c r="L54" s="12" t="s">
        <v>72</v>
      </c>
      <c r="M54" s="13">
        <v>160</v>
      </c>
      <c r="N54" s="13" t="s">
        <v>355</v>
      </c>
      <c r="O54" s="13"/>
      <c r="P54" s="16"/>
      <c r="Q54" s="11"/>
      <c r="R54" s="11"/>
      <c r="S54" s="11"/>
      <c r="T54" s="11"/>
      <c r="U54" s="13">
        <v>61</v>
      </c>
      <c r="V54" s="13" t="s">
        <v>355</v>
      </c>
      <c r="W54" s="13"/>
      <c r="X54" s="13" t="s">
        <v>242</v>
      </c>
      <c r="Y54" s="13" t="s">
        <v>396</v>
      </c>
      <c r="Z54" s="13"/>
      <c r="AA54" s="13"/>
      <c r="AB54" s="13"/>
      <c r="AC54" s="13"/>
      <c r="AD54" s="13"/>
      <c r="AE54" s="23"/>
    </row>
    <row r="55" spans="1:31" x14ac:dyDescent="0.3">
      <c r="A55" s="19"/>
      <c r="B55" s="17"/>
      <c r="C55" s="18">
        <v>5803</v>
      </c>
      <c r="D55" s="19" t="s">
        <v>382</v>
      </c>
      <c r="E55" s="19" t="s">
        <v>383</v>
      </c>
      <c r="F55" s="18" t="s">
        <v>239</v>
      </c>
      <c r="G55" s="20">
        <v>809333</v>
      </c>
      <c r="H55" s="19">
        <v>226027</v>
      </c>
      <c r="I55" s="21" t="s">
        <v>397</v>
      </c>
      <c r="J55" s="19" t="s">
        <v>398</v>
      </c>
      <c r="K55" s="19">
        <v>1960</v>
      </c>
      <c r="L55" s="18" t="s">
        <v>192</v>
      </c>
      <c r="M55" s="19">
        <v>65</v>
      </c>
      <c r="N55" s="19" t="s">
        <v>74</v>
      </c>
      <c r="O55" s="19"/>
      <c r="P55" s="22"/>
      <c r="Q55" s="17"/>
      <c r="R55" s="17"/>
      <c r="S55" s="17"/>
      <c r="T55" s="17"/>
      <c r="U55" s="19">
        <v>66</v>
      </c>
      <c r="V55" s="19" t="s">
        <v>246</v>
      </c>
      <c r="W55" s="19"/>
      <c r="X55" s="19" t="s">
        <v>325</v>
      </c>
      <c r="Y55" s="19" t="s">
        <v>399</v>
      </c>
      <c r="Z55" s="19"/>
      <c r="AA55" s="19"/>
      <c r="AB55" s="19"/>
      <c r="AC55" s="19"/>
      <c r="AD55" s="19"/>
      <c r="AE55" s="24"/>
    </row>
    <row r="56" spans="1:31" x14ac:dyDescent="0.3">
      <c r="A56" s="13"/>
      <c r="B56" s="11"/>
      <c r="C56" s="12">
        <v>5803</v>
      </c>
      <c r="D56" s="13" t="s">
        <v>382</v>
      </c>
      <c r="E56" s="13" t="s">
        <v>383</v>
      </c>
      <c r="F56" s="12" t="s">
        <v>239</v>
      </c>
      <c r="G56" s="14">
        <v>16558</v>
      </c>
      <c r="H56" s="13">
        <v>419190</v>
      </c>
      <c r="I56" s="15" t="s">
        <v>400</v>
      </c>
      <c r="J56" s="13" t="s">
        <v>401</v>
      </c>
      <c r="K56" s="13">
        <v>1953</v>
      </c>
      <c r="L56" s="12" t="s">
        <v>72</v>
      </c>
      <c r="M56" s="13">
        <v>170</v>
      </c>
      <c r="N56" s="13" t="s">
        <v>109</v>
      </c>
      <c r="O56" s="13">
        <v>4068</v>
      </c>
      <c r="P56" s="16">
        <v>1364</v>
      </c>
      <c r="Q56" s="11">
        <v>2331</v>
      </c>
      <c r="R56" s="11">
        <v>1965</v>
      </c>
      <c r="S56" s="11"/>
      <c r="T56" s="11"/>
      <c r="U56" s="13">
        <v>73</v>
      </c>
      <c r="V56" s="13" t="s">
        <v>109</v>
      </c>
      <c r="W56" s="13"/>
      <c r="X56" s="13" t="s">
        <v>242</v>
      </c>
      <c r="Y56" s="13" t="s">
        <v>402</v>
      </c>
      <c r="Z56" s="13"/>
      <c r="AA56" s="13"/>
      <c r="AB56" s="13"/>
      <c r="AC56" s="13"/>
      <c r="AD56" s="13">
        <v>16558</v>
      </c>
      <c r="AE56" s="23"/>
    </row>
    <row r="57" spans="1:31" x14ac:dyDescent="0.3">
      <c r="A57" s="19"/>
      <c r="B57" s="17"/>
      <c r="C57" s="18">
        <v>5803</v>
      </c>
      <c r="D57" s="19" t="s">
        <v>382</v>
      </c>
      <c r="E57" s="19" t="s">
        <v>383</v>
      </c>
      <c r="F57" s="18" t="s">
        <v>239</v>
      </c>
      <c r="G57" s="20">
        <v>16559</v>
      </c>
      <c r="H57" s="19">
        <v>419180</v>
      </c>
      <c r="I57" s="21" t="s">
        <v>400</v>
      </c>
      <c r="J57" s="19" t="s">
        <v>403</v>
      </c>
      <c r="K57" s="19">
        <v>1954</v>
      </c>
      <c r="L57" s="18" t="s">
        <v>192</v>
      </c>
      <c r="M57" s="19">
        <v>70</v>
      </c>
      <c r="N57" s="19" t="s">
        <v>404</v>
      </c>
      <c r="O57" s="19">
        <v>3201</v>
      </c>
      <c r="P57" s="22">
        <v>2423</v>
      </c>
      <c r="Q57" s="17">
        <v>1916</v>
      </c>
      <c r="R57" s="17">
        <v>2861</v>
      </c>
      <c r="S57" s="17"/>
      <c r="T57" s="17"/>
      <c r="U57" s="19">
        <v>72</v>
      </c>
      <c r="V57" s="19" t="s">
        <v>404</v>
      </c>
      <c r="W57" s="19"/>
      <c r="X57" s="19" t="s">
        <v>242</v>
      </c>
      <c r="Y57" s="19" t="s">
        <v>405</v>
      </c>
      <c r="Z57" s="19"/>
      <c r="AA57" s="19"/>
      <c r="AB57" s="19"/>
      <c r="AC57" s="19"/>
      <c r="AD57" s="19">
        <v>16559</v>
      </c>
      <c r="AE57" s="24"/>
    </row>
    <row r="58" spans="1:31" x14ac:dyDescent="0.3">
      <c r="A58" s="13"/>
      <c r="B58" s="11"/>
      <c r="C58" s="12">
        <v>5803</v>
      </c>
      <c r="D58" s="13" t="s">
        <v>382</v>
      </c>
      <c r="E58" s="13" t="s">
        <v>383</v>
      </c>
      <c r="F58" s="12" t="s">
        <v>239</v>
      </c>
      <c r="G58" s="14">
        <v>949167</v>
      </c>
      <c r="H58" s="13"/>
      <c r="I58" s="15" t="s">
        <v>406</v>
      </c>
      <c r="J58" s="13" t="s">
        <v>407</v>
      </c>
      <c r="K58" s="13">
        <v>2013</v>
      </c>
      <c r="L58" s="12" t="s">
        <v>192</v>
      </c>
      <c r="M58" s="13">
        <v>14</v>
      </c>
      <c r="N58" s="13" t="s">
        <v>67</v>
      </c>
      <c r="O58" s="13"/>
      <c r="P58" s="16"/>
      <c r="Q58" s="11"/>
      <c r="R58" s="11"/>
      <c r="S58" s="11"/>
      <c r="T58" s="11"/>
      <c r="U58" s="13">
        <v>13</v>
      </c>
      <c r="V58" s="13" t="s">
        <v>67</v>
      </c>
      <c r="W58" s="13"/>
      <c r="X58" s="13" t="s">
        <v>369</v>
      </c>
      <c r="Y58" s="13" t="s">
        <v>408</v>
      </c>
      <c r="Z58" s="13"/>
      <c r="AA58" s="13"/>
      <c r="AB58" s="13"/>
      <c r="AC58" s="13"/>
      <c r="AD58" s="13"/>
      <c r="AE58" s="23"/>
    </row>
    <row r="59" spans="1:31" x14ac:dyDescent="0.3">
      <c r="A59" s="19"/>
      <c r="B59" s="17"/>
      <c r="C59" s="18">
        <v>5803</v>
      </c>
      <c r="D59" s="19" t="s">
        <v>382</v>
      </c>
      <c r="E59" s="19" t="s">
        <v>383</v>
      </c>
      <c r="F59" s="18" t="s">
        <v>239</v>
      </c>
      <c r="G59" s="20">
        <v>904393</v>
      </c>
      <c r="H59" s="19"/>
      <c r="I59" s="21" t="s">
        <v>406</v>
      </c>
      <c r="J59" s="19" t="s">
        <v>409</v>
      </c>
      <c r="K59" s="19">
        <v>1970</v>
      </c>
      <c r="L59" s="18" t="s">
        <v>192</v>
      </c>
      <c r="M59" s="19">
        <v>55</v>
      </c>
      <c r="N59" s="19" t="s">
        <v>175</v>
      </c>
      <c r="O59" s="19"/>
      <c r="P59" s="22"/>
      <c r="Q59" s="17"/>
      <c r="R59" s="17"/>
      <c r="S59" s="17"/>
      <c r="T59" s="17"/>
      <c r="U59" s="19">
        <v>56</v>
      </c>
      <c r="V59" s="19" t="s">
        <v>81</v>
      </c>
      <c r="W59" s="19"/>
      <c r="X59" s="19" t="s">
        <v>369</v>
      </c>
      <c r="Y59" s="19" t="s">
        <v>410</v>
      </c>
      <c r="Z59" s="19"/>
      <c r="AA59" s="19"/>
      <c r="AB59" s="19"/>
      <c r="AC59" s="19"/>
      <c r="AD59" s="19"/>
      <c r="AE59" s="24"/>
    </row>
    <row r="60" spans="1:31" x14ac:dyDescent="0.3">
      <c r="A60" s="13"/>
      <c r="B60" s="11"/>
      <c r="C60" s="12">
        <v>5803</v>
      </c>
      <c r="D60" s="13" t="s">
        <v>382</v>
      </c>
      <c r="E60" s="13" t="s">
        <v>383</v>
      </c>
      <c r="F60" s="12" t="s">
        <v>239</v>
      </c>
      <c r="G60" s="14">
        <v>15026</v>
      </c>
      <c r="H60" s="13">
        <v>1550508</v>
      </c>
      <c r="I60" s="15" t="s">
        <v>411</v>
      </c>
      <c r="J60" s="13" t="s">
        <v>401</v>
      </c>
      <c r="K60" s="13">
        <v>1955</v>
      </c>
      <c r="L60" s="12" t="s">
        <v>72</v>
      </c>
      <c r="M60" s="13">
        <v>170</v>
      </c>
      <c r="N60" s="13" t="s">
        <v>109</v>
      </c>
      <c r="O60" s="13">
        <v>3517</v>
      </c>
      <c r="P60" s="16">
        <v>2088</v>
      </c>
      <c r="Q60" s="11">
        <v>2267</v>
      </c>
      <c r="R60" s="11">
        <v>2152</v>
      </c>
      <c r="S60" s="11"/>
      <c r="T60" s="11"/>
      <c r="U60" s="13">
        <v>71</v>
      </c>
      <c r="V60" s="13" t="s">
        <v>109</v>
      </c>
      <c r="W60" s="13"/>
      <c r="X60" s="13" t="s">
        <v>242</v>
      </c>
      <c r="Y60" s="13" t="s">
        <v>412</v>
      </c>
      <c r="Z60" s="13"/>
      <c r="AA60" s="13"/>
      <c r="AB60" s="13"/>
      <c r="AC60" s="13"/>
      <c r="AD60" s="13">
        <v>15026</v>
      </c>
      <c r="AE60" s="23"/>
    </row>
    <row r="61" spans="1:31" x14ac:dyDescent="0.3">
      <c r="A61" s="19"/>
      <c r="B61" s="17"/>
      <c r="C61" s="18">
        <v>5803</v>
      </c>
      <c r="D61" s="19" t="s">
        <v>382</v>
      </c>
      <c r="E61" s="19" t="s">
        <v>383</v>
      </c>
      <c r="F61" s="18" t="s">
        <v>239</v>
      </c>
      <c r="G61" s="20">
        <v>15025</v>
      </c>
      <c r="H61" s="19">
        <v>7061951</v>
      </c>
      <c r="I61" s="21" t="s">
        <v>411</v>
      </c>
      <c r="J61" s="19" t="s">
        <v>375</v>
      </c>
      <c r="K61" s="19">
        <v>1951</v>
      </c>
      <c r="L61" s="18" t="s">
        <v>192</v>
      </c>
      <c r="M61" s="19">
        <v>75</v>
      </c>
      <c r="N61" s="19" t="s">
        <v>125</v>
      </c>
      <c r="O61" s="19">
        <v>3620</v>
      </c>
      <c r="P61" s="22">
        <v>1955</v>
      </c>
      <c r="Q61" s="17">
        <v>2289</v>
      </c>
      <c r="R61" s="17">
        <v>2090</v>
      </c>
      <c r="S61" s="17"/>
      <c r="T61" s="17"/>
      <c r="U61" s="19">
        <v>75</v>
      </c>
      <c r="V61" s="19" t="s">
        <v>125</v>
      </c>
      <c r="W61" s="19"/>
      <c r="X61" s="19" t="s">
        <v>242</v>
      </c>
      <c r="Y61" s="19" t="s">
        <v>413</v>
      </c>
      <c r="Z61" s="19"/>
      <c r="AA61" s="19"/>
      <c r="AB61" s="19"/>
      <c r="AC61" s="19"/>
      <c r="AD61" s="19">
        <v>15025</v>
      </c>
      <c r="AE61" s="24"/>
    </row>
    <row r="62" spans="1:31" x14ac:dyDescent="0.3">
      <c r="A62" s="13"/>
      <c r="B62" s="11"/>
      <c r="C62" s="12">
        <v>5803</v>
      </c>
      <c r="D62" s="13" t="s">
        <v>382</v>
      </c>
      <c r="E62" s="13" t="s">
        <v>383</v>
      </c>
      <c r="F62" s="12" t="s">
        <v>239</v>
      </c>
      <c r="G62" s="14">
        <v>942628</v>
      </c>
      <c r="H62" s="13"/>
      <c r="I62" s="15" t="s">
        <v>414</v>
      </c>
      <c r="J62" s="13" t="s">
        <v>249</v>
      </c>
      <c r="K62" s="13">
        <v>1974</v>
      </c>
      <c r="L62" s="12" t="s">
        <v>72</v>
      </c>
      <c r="M62" s="13">
        <v>150</v>
      </c>
      <c r="N62" s="13" t="s">
        <v>140</v>
      </c>
      <c r="O62" s="13"/>
      <c r="P62" s="16"/>
      <c r="Q62" s="11"/>
      <c r="R62" s="11"/>
      <c r="S62" s="11"/>
      <c r="T62" s="11"/>
      <c r="U62" s="13">
        <v>52</v>
      </c>
      <c r="V62" s="13" t="s">
        <v>140</v>
      </c>
      <c r="W62" s="13"/>
      <c r="X62" s="13" t="s">
        <v>369</v>
      </c>
      <c r="Y62" s="13" t="s">
        <v>415</v>
      </c>
      <c r="Z62" s="13"/>
      <c r="AA62" s="13"/>
      <c r="AB62" s="13"/>
      <c r="AC62" s="13"/>
      <c r="AD62" s="13"/>
      <c r="AE62" s="23"/>
    </row>
    <row r="63" spans="1:31" x14ac:dyDescent="0.3">
      <c r="A63" s="19"/>
      <c r="B63" s="17"/>
      <c r="C63" s="18">
        <v>5803</v>
      </c>
      <c r="D63" s="19" t="s">
        <v>382</v>
      </c>
      <c r="E63" s="19" t="s">
        <v>383</v>
      </c>
      <c r="F63" s="18" t="s">
        <v>239</v>
      </c>
      <c r="G63" s="20">
        <v>34523</v>
      </c>
      <c r="H63" s="19"/>
      <c r="I63" s="21" t="s">
        <v>414</v>
      </c>
      <c r="J63" s="19" t="s">
        <v>416</v>
      </c>
      <c r="K63" s="19">
        <v>1972</v>
      </c>
      <c r="L63" s="18" t="s">
        <v>192</v>
      </c>
      <c r="M63" s="19">
        <v>50</v>
      </c>
      <c r="N63" s="19" t="s">
        <v>81</v>
      </c>
      <c r="O63" s="19"/>
      <c r="P63" s="22"/>
      <c r="Q63" s="17"/>
      <c r="R63" s="17"/>
      <c r="S63" s="17"/>
      <c r="T63" s="17"/>
      <c r="U63" s="19">
        <v>54</v>
      </c>
      <c r="V63" s="19" t="s">
        <v>81</v>
      </c>
      <c r="W63" s="19"/>
      <c r="X63" s="19" t="s">
        <v>242</v>
      </c>
      <c r="Y63" s="19" t="s">
        <v>417</v>
      </c>
      <c r="Z63" s="19"/>
      <c r="AA63" s="19"/>
      <c r="AB63" s="19"/>
      <c r="AC63" s="19"/>
      <c r="AD63" s="19"/>
      <c r="AE63" s="24"/>
    </row>
    <row r="64" spans="1:31" x14ac:dyDescent="0.3">
      <c r="A64" s="13"/>
      <c r="B64" s="11"/>
      <c r="C64" s="12">
        <v>5803</v>
      </c>
      <c r="D64" s="13" t="s">
        <v>382</v>
      </c>
      <c r="E64" s="13" t="s">
        <v>383</v>
      </c>
      <c r="F64" s="12" t="s">
        <v>239</v>
      </c>
      <c r="G64" s="14">
        <v>942938</v>
      </c>
      <c r="H64" s="13"/>
      <c r="I64" s="15" t="s">
        <v>414</v>
      </c>
      <c r="J64" s="13" t="s">
        <v>418</v>
      </c>
      <c r="K64" s="13">
        <v>2003</v>
      </c>
      <c r="L64" s="12" t="s">
        <v>72</v>
      </c>
      <c r="M64" s="13">
        <v>121</v>
      </c>
      <c r="N64" s="13" t="s">
        <v>78</v>
      </c>
      <c r="O64" s="13"/>
      <c r="P64" s="16"/>
      <c r="Q64" s="11"/>
      <c r="R64" s="11"/>
      <c r="S64" s="11"/>
      <c r="T64" s="11"/>
      <c r="U64" s="13">
        <v>23</v>
      </c>
      <c r="V64" s="13" t="s">
        <v>78</v>
      </c>
      <c r="W64" s="13"/>
      <c r="X64" s="13" t="s">
        <v>369</v>
      </c>
      <c r="Y64" s="13" t="s">
        <v>419</v>
      </c>
      <c r="Z64" s="13"/>
      <c r="AA64" s="13"/>
      <c r="AB64" s="13"/>
      <c r="AC64" s="13"/>
      <c r="AD64" s="13"/>
      <c r="AE64" s="23"/>
    </row>
    <row r="65" spans="1:31" x14ac:dyDescent="0.3">
      <c r="A65" s="19"/>
      <c r="B65" s="17"/>
      <c r="C65" s="18">
        <v>5803</v>
      </c>
      <c r="D65" s="19" t="s">
        <v>382</v>
      </c>
      <c r="E65" s="19" t="s">
        <v>383</v>
      </c>
      <c r="F65" s="18" t="s">
        <v>239</v>
      </c>
      <c r="G65" s="20">
        <v>944511</v>
      </c>
      <c r="H65" s="19"/>
      <c r="I65" s="21" t="s">
        <v>414</v>
      </c>
      <c r="J65" s="19" t="s">
        <v>420</v>
      </c>
      <c r="K65" s="19">
        <v>1998</v>
      </c>
      <c r="L65" s="18" t="s">
        <v>192</v>
      </c>
      <c r="M65" s="19">
        <v>21</v>
      </c>
      <c r="N65" s="19" t="s">
        <v>99</v>
      </c>
      <c r="O65" s="19"/>
      <c r="P65" s="22"/>
      <c r="Q65" s="17"/>
      <c r="R65" s="17"/>
      <c r="S65" s="17"/>
      <c r="T65" s="17"/>
      <c r="U65" s="19">
        <v>28</v>
      </c>
      <c r="V65" s="19" t="s">
        <v>99</v>
      </c>
      <c r="W65" s="19"/>
      <c r="X65" s="19" t="s">
        <v>369</v>
      </c>
      <c r="Y65" s="19" t="s">
        <v>421</v>
      </c>
      <c r="Z65" s="19"/>
      <c r="AA65" s="19"/>
      <c r="AB65" s="19"/>
      <c r="AC65" s="19"/>
      <c r="AD65" s="19"/>
      <c r="AE65" s="24"/>
    </row>
    <row r="66" spans="1:31" x14ac:dyDescent="0.3">
      <c r="A66" s="13"/>
      <c r="B66" s="11"/>
      <c r="C66" s="12">
        <v>5803</v>
      </c>
      <c r="D66" s="13" t="s">
        <v>382</v>
      </c>
      <c r="E66" s="13" t="s">
        <v>383</v>
      </c>
      <c r="F66" s="12" t="s">
        <v>239</v>
      </c>
      <c r="G66" s="14">
        <v>11551</v>
      </c>
      <c r="H66" s="13">
        <v>339921</v>
      </c>
      <c r="I66" s="15" t="s">
        <v>422</v>
      </c>
      <c r="J66" s="13" t="s">
        <v>423</v>
      </c>
      <c r="K66" s="13">
        <v>1957</v>
      </c>
      <c r="L66" s="12" t="s">
        <v>192</v>
      </c>
      <c r="M66" s="13">
        <v>65</v>
      </c>
      <c r="N66" s="13" t="s">
        <v>74</v>
      </c>
      <c r="O66" s="13">
        <v>3212</v>
      </c>
      <c r="P66" s="16">
        <v>2411</v>
      </c>
      <c r="Q66" s="11"/>
      <c r="R66" s="11"/>
      <c r="S66" s="11"/>
      <c r="T66" s="11"/>
      <c r="U66" s="13">
        <v>69</v>
      </c>
      <c r="V66" s="13" t="s">
        <v>246</v>
      </c>
      <c r="W66" s="13"/>
      <c r="X66" s="13" t="s">
        <v>242</v>
      </c>
      <c r="Y66" s="13" t="s">
        <v>424</v>
      </c>
      <c r="Z66" s="13"/>
      <c r="AA66" s="13"/>
      <c r="AB66" s="13"/>
      <c r="AC66" s="13"/>
      <c r="AD66" s="13">
        <v>11551</v>
      </c>
      <c r="AE66" s="23"/>
    </row>
    <row r="67" spans="1:31" x14ac:dyDescent="0.3">
      <c r="A67" s="19"/>
      <c r="B67" s="17"/>
      <c r="C67" s="18">
        <v>5803</v>
      </c>
      <c r="D67" s="19" t="s">
        <v>382</v>
      </c>
      <c r="E67" s="19" t="s">
        <v>383</v>
      </c>
      <c r="F67" s="18" t="s">
        <v>239</v>
      </c>
      <c r="G67" s="20">
        <v>16916</v>
      </c>
      <c r="H67" s="19">
        <v>9002012</v>
      </c>
      <c r="I67" s="21" t="s">
        <v>425</v>
      </c>
      <c r="J67" s="19" t="s">
        <v>426</v>
      </c>
      <c r="K67" s="19">
        <v>1959</v>
      </c>
      <c r="L67" s="18" t="s">
        <v>192</v>
      </c>
      <c r="M67" s="19">
        <v>65</v>
      </c>
      <c r="N67" s="19" t="s">
        <v>74</v>
      </c>
      <c r="O67" s="19">
        <v>1419</v>
      </c>
      <c r="P67" s="22">
        <v>4024</v>
      </c>
      <c r="Q67" s="17"/>
      <c r="R67" s="17"/>
      <c r="S67" s="17"/>
      <c r="T67" s="17"/>
      <c r="U67" s="19">
        <v>67</v>
      </c>
      <c r="V67" s="19" t="s">
        <v>246</v>
      </c>
      <c r="W67" s="19"/>
      <c r="X67" s="19" t="s">
        <v>242</v>
      </c>
      <c r="Y67" s="19" t="s">
        <v>427</v>
      </c>
      <c r="Z67" s="19"/>
      <c r="AA67" s="19"/>
      <c r="AB67" s="19"/>
      <c r="AC67" s="19"/>
      <c r="AD67" s="19">
        <v>16916</v>
      </c>
      <c r="AE67" s="24"/>
    </row>
    <row r="68" spans="1:31" x14ac:dyDescent="0.3">
      <c r="A68" s="13"/>
      <c r="B68" s="11"/>
      <c r="C68" s="12">
        <v>5803</v>
      </c>
      <c r="D68" s="13" t="s">
        <v>382</v>
      </c>
      <c r="E68" s="13" t="s">
        <v>383</v>
      </c>
      <c r="F68" s="12" t="s">
        <v>239</v>
      </c>
      <c r="G68" s="14">
        <v>814201</v>
      </c>
      <c r="H68" s="13">
        <v>419166</v>
      </c>
      <c r="I68" s="15" t="s">
        <v>428</v>
      </c>
      <c r="J68" s="13" t="s">
        <v>403</v>
      </c>
      <c r="K68" s="13">
        <v>1966</v>
      </c>
      <c r="L68" s="12" t="s">
        <v>192</v>
      </c>
      <c r="M68" s="13">
        <v>60</v>
      </c>
      <c r="N68" s="13" t="s">
        <v>246</v>
      </c>
      <c r="O68" s="13"/>
      <c r="P68" s="16"/>
      <c r="Q68" s="11"/>
      <c r="R68" s="11"/>
      <c r="S68" s="11"/>
      <c r="T68" s="11"/>
      <c r="U68" s="13">
        <v>60</v>
      </c>
      <c r="V68" s="13" t="s">
        <v>246</v>
      </c>
      <c r="W68" s="13"/>
      <c r="X68" s="13" t="s">
        <v>325</v>
      </c>
      <c r="Y68" s="13" t="s">
        <v>429</v>
      </c>
      <c r="Z68" s="13"/>
      <c r="AA68" s="13"/>
      <c r="AB68" s="13"/>
      <c r="AC68" s="13"/>
      <c r="AD68" s="13"/>
      <c r="AE68" s="23"/>
    </row>
    <row r="69" spans="1:31" x14ac:dyDescent="0.3">
      <c r="A69" s="19"/>
      <c r="B69" s="17"/>
      <c r="C69" s="18">
        <v>5803</v>
      </c>
      <c r="D69" s="19" t="s">
        <v>382</v>
      </c>
      <c r="E69" s="19" t="s">
        <v>383</v>
      </c>
      <c r="F69" s="18" t="s">
        <v>239</v>
      </c>
      <c r="G69" s="20">
        <v>809332</v>
      </c>
      <c r="H69" s="19">
        <v>226049</v>
      </c>
      <c r="I69" s="21" t="s">
        <v>430</v>
      </c>
      <c r="J69" s="19" t="s">
        <v>311</v>
      </c>
      <c r="K69" s="19">
        <v>1962</v>
      </c>
      <c r="L69" s="18" t="s">
        <v>192</v>
      </c>
      <c r="M69" s="19">
        <v>60</v>
      </c>
      <c r="N69" s="19" t="s">
        <v>246</v>
      </c>
      <c r="O69" s="19"/>
      <c r="P69" s="22"/>
      <c r="Q69" s="17"/>
      <c r="R69" s="17"/>
      <c r="S69" s="17"/>
      <c r="T69" s="17"/>
      <c r="U69" s="19">
        <v>64</v>
      </c>
      <c r="V69" s="19" t="s">
        <v>246</v>
      </c>
      <c r="W69" s="19"/>
      <c r="X69" s="19" t="s">
        <v>325</v>
      </c>
      <c r="Y69" s="19" t="s">
        <v>431</v>
      </c>
      <c r="Z69" s="19"/>
      <c r="AA69" s="19"/>
      <c r="AB69" s="19"/>
      <c r="AC69" s="19"/>
      <c r="AD69" s="19"/>
      <c r="AE69" s="24"/>
    </row>
    <row r="70" spans="1:31" x14ac:dyDescent="0.3">
      <c r="A70" s="13"/>
      <c r="B70" s="11"/>
      <c r="C70" s="12">
        <v>5803</v>
      </c>
      <c r="D70" s="13" t="s">
        <v>382</v>
      </c>
      <c r="E70" s="13" t="s">
        <v>383</v>
      </c>
      <c r="F70" s="12" t="s">
        <v>239</v>
      </c>
      <c r="G70" s="14">
        <v>905749</v>
      </c>
      <c r="H70" s="13">
        <v>226056</v>
      </c>
      <c r="I70" s="15" t="s">
        <v>432</v>
      </c>
      <c r="J70" s="13" t="s">
        <v>403</v>
      </c>
      <c r="K70" s="13">
        <v>1949</v>
      </c>
      <c r="L70" s="12" t="s">
        <v>192</v>
      </c>
      <c r="M70" s="13">
        <v>75</v>
      </c>
      <c r="N70" s="13" t="s">
        <v>125</v>
      </c>
      <c r="O70" s="13"/>
      <c r="P70" s="16"/>
      <c r="Q70" s="11"/>
      <c r="R70" s="11"/>
      <c r="S70" s="11"/>
      <c r="T70" s="11"/>
      <c r="U70" s="13">
        <v>77</v>
      </c>
      <c r="V70" s="13" t="s">
        <v>125</v>
      </c>
      <c r="W70" s="13"/>
      <c r="X70" s="13" t="s">
        <v>369</v>
      </c>
      <c r="Y70" s="13" t="s">
        <v>433</v>
      </c>
      <c r="Z70" s="13"/>
      <c r="AA70" s="13"/>
      <c r="AB70" s="13"/>
      <c r="AC70" s="13"/>
      <c r="AD70" s="13"/>
      <c r="AE70" s="23"/>
    </row>
    <row r="71" spans="1:31" x14ac:dyDescent="0.3">
      <c r="A71" s="19"/>
      <c r="B71" s="17"/>
      <c r="C71" s="18">
        <v>5803</v>
      </c>
      <c r="D71" s="19" t="s">
        <v>382</v>
      </c>
      <c r="E71" s="19" t="s">
        <v>383</v>
      </c>
      <c r="F71" s="18" t="s">
        <v>239</v>
      </c>
      <c r="G71" s="20">
        <v>914202</v>
      </c>
      <c r="H71" s="19">
        <v>339922</v>
      </c>
      <c r="I71" s="21" t="s">
        <v>432</v>
      </c>
      <c r="J71" s="19" t="s">
        <v>434</v>
      </c>
      <c r="K71" s="19">
        <v>1948</v>
      </c>
      <c r="L71" s="18" t="s">
        <v>72</v>
      </c>
      <c r="M71" s="19">
        <v>175</v>
      </c>
      <c r="N71" s="19" t="s">
        <v>435</v>
      </c>
      <c r="O71" s="19"/>
      <c r="P71" s="22"/>
      <c r="Q71" s="17"/>
      <c r="R71" s="17"/>
      <c r="S71" s="17"/>
      <c r="T71" s="17"/>
      <c r="U71" s="19">
        <v>78</v>
      </c>
      <c r="V71" s="19" t="s">
        <v>435</v>
      </c>
      <c r="W71" s="19"/>
      <c r="X71" s="19" t="s">
        <v>369</v>
      </c>
      <c r="Y71" s="19" t="s">
        <v>436</v>
      </c>
      <c r="Z71" s="19"/>
      <c r="AA71" s="19"/>
      <c r="AB71" s="19"/>
      <c r="AC71" s="19"/>
      <c r="AD71" s="19"/>
      <c r="AE71" s="24"/>
    </row>
    <row r="72" spans="1:31" x14ac:dyDescent="0.3">
      <c r="A72" s="13"/>
      <c r="B72" s="11"/>
      <c r="C72" s="12">
        <v>5803</v>
      </c>
      <c r="D72" s="13" t="s">
        <v>382</v>
      </c>
      <c r="E72" s="13" t="s">
        <v>383</v>
      </c>
      <c r="F72" s="12" t="s">
        <v>239</v>
      </c>
      <c r="G72" s="14">
        <v>42221</v>
      </c>
      <c r="H72" s="13">
        <v>7501085</v>
      </c>
      <c r="I72" s="15" t="s">
        <v>437</v>
      </c>
      <c r="J72" s="13" t="s">
        <v>438</v>
      </c>
      <c r="K72" s="13">
        <v>1980</v>
      </c>
      <c r="L72" s="12" t="s">
        <v>72</v>
      </c>
      <c r="M72" s="13">
        <v>145</v>
      </c>
      <c r="N72" s="13" t="s">
        <v>439</v>
      </c>
      <c r="O72" s="13">
        <v>2131</v>
      </c>
      <c r="P72" s="16">
        <v>3390</v>
      </c>
      <c r="Q72" s="11"/>
      <c r="R72" s="11"/>
      <c r="S72" s="11"/>
      <c r="T72" s="11"/>
      <c r="U72" s="13">
        <v>46</v>
      </c>
      <c r="V72" s="13" t="s">
        <v>183</v>
      </c>
      <c r="W72" s="13"/>
      <c r="X72" s="13" t="s">
        <v>242</v>
      </c>
      <c r="Y72" s="13" t="s">
        <v>440</v>
      </c>
      <c r="Z72" s="13"/>
      <c r="AA72" s="13"/>
      <c r="AB72" s="13"/>
      <c r="AC72" s="13"/>
      <c r="AD72" s="13">
        <v>42221</v>
      </c>
      <c r="AE72" s="23"/>
    </row>
    <row r="73" spans="1:31" x14ac:dyDescent="0.3">
      <c r="A73" s="19"/>
      <c r="B73" s="17"/>
      <c r="C73" s="18">
        <v>5803</v>
      </c>
      <c r="D73" s="19" t="s">
        <v>382</v>
      </c>
      <c r="E73" s="19" t="s">
        <v>383</v>
      </c>
      <c r="F73" s="18" t="s">
        <v>239</v>
      </c>
      <c r="G73" s="20">
        <v>947816</v>
      </c>
      <c r="H73" s="19"/>
      <c r="I73" s="21" t="s">
        <v>441</v>
      </c>
      <c r="J73" s="19" t="s">
        <v>442</v>
      </c>
      <c r="K73" s="19">
        <v>1961</v>
      </c>
      <c r="L73" s="18" t="s">
        <v>192</v>
      </c>
      <c r="M73" s="19">
        <v>65</v>
      </c>
      <c r="N73" s="19" t="s">
        <v>74</v>
      </c>
      <c r="O73" s="19"/>
      <c r="P73" s="22"/>
      <c r="Q73" s="17"/>
      <c r="R73" s="17"/>
      <c r="S73" s="17"/>
      <c r="T73" s="17"/>
      <c r="U73" s="19">
        <v>65</v>
      </c>
      <c r="V73" s="19" t="s">
        <v>246</v>
      </c>
      <c r="W73" s="19"/>
      <c r="X73" s="19" t="s">
        <v>369</v>
      </c>
      <c r="Y73" s="19" t="s">
        <v>443</v>
      </c>
      <c r="Z73" s="19"/>
      <c r="AA73" s="19"/>
      <c r="AB73" s="19"/>
      <c r="AC73" s="19"/>
      <c r="AD73" s="19"/>
      <c r="AE73" s="24"/>
    </row>
    <row r="74" spans="1:31" x14ac:dyDescent="0.3">
      <c r="A74" s="13"/>
      <c r="B74" s="11"/>
      <c r="C74" s="12">
        <v>5803</v>
      </c>
      <c r="D74" s="13" t="s">
        <v>382</v>
      </c>
      <c r="E74" s="13" t="s">
        <v>383</v>
      </c>
      <c r="F74" s="12" t="s">
        <v>239</v>
      </c>
      <c r="G74" s="14">
        <v>22723</v>
      </c>
      <c r="H74" s="13">
        <v>8002420</v>
      </c>
      <c r="I74" s="15" t="s">
        <v>444</v>
      </c>
      <c r="J74" s="13" t="s">
        <v>445</v>
      </c>
      <c r="K74" s="13">
        <v>1973</v>
      </c>
      <c r="L74" s="12" t="s">
        <v>72</v>
      </c>
      <c r="M74" s="13">
        <v>150</v>
      </c>
      <c r="N74" s="13" t="s">
        <v>140</v>
      </c>
      <c r="O74" s="13">
        <v>2956</v>
      </c>
      <c r="P74" s="16">
        <v>2649</v>
      </c>
      <c r="Q74" s="11">
        <v>1477</v>
      </c>
      <c r="R74" s="11">
        <v>3438</v>
      </c>
      <c r="S74" s="11"/>
      <c r="T74" s="11"/>
      <c r="U74" s="13">
        <v>53</v>
      </c>
      <c r="V74" s="13" t="s">
        <v>140</v>
      </c>
      <c r="W74" s="13"/>
      <c r="X74" s="13" t="s">
        <v>242</v>
      </c>
      <c r="Y74" s="13" t="s">
        <v>446</v>
      </c>
      <c r="Z74" s="13"/>
      <c r="AA74" s="13"/>
      <c r="AB74" s="13"/>
      <c r="AC74" s="13"/>
      <c r="AD74" s="13">
        <v>22723</v>
      </c>
      <c r="AE74" s="23"/>
    </row>
    <row r="75" spans="1:31" x14ac:dyDescent="0.3">
      <c r="A75" s="19"/>
      <c r="B75" s="17"/>
      <c r="C75" s="18">
        <v>5803</v>
      </c>
      <c r="D75" s="19" t="s">
        <v>382</v>
      </c>
      <c r="E75" s="19" t="s">
        <v>383</v>
      </c>
      <c r="F75" s="18" t="s">
        <v>239</v>
      </c>
      <c r="G75" s="20">
        <v>915028</v>
      </c>
      <c r="H75" s="19">
        <v>2057085</v>
      </c>
      <c r="I75" s="21" t="s">
        <v>447</v>
      </c>
      <c r="J75" s="19" t="s">
        <v>448</v>
      </c>
      <c r="K75" s="19">
        <v>1957</v>
      </c>
      <c r="L75" s="18" t="s">
        <v>192</v>
      </c>
      <c r="M75" s="19">
        <v>65</v>
      </c>
      <c r="N75" s="19" t="s">
        <v>74</v>
      </c>
      <c r="O75" s="19"/>
      <c r="P75" s="22"/>
      <c r="Q75" s="17"/>
      <c r="R75" s="17"/>
      <c r="S75" s="17"/>
      <c r="T75" s="17"/>
      <c r="U75" s="19">
        <v>69</v>
      </c>
      <c r="V75" s="19" t="s">
        <v>246</v>
      </c>
      <c r="W75" s="19"/>
      <c r="X75" s="19" t="s">
        <v>369</v>
      </c>
      <c r="Y75" s="19" t="s">
        <v>449</v>
      </c>
      <c r="Z75" s="19"/>
      <c r="AA75" s="19"/>
      <c r="AB75" s="19"/>
      <c r="AC75" s="19"/>
      <c r="AD75" s="19"/>
      <c r="AE75" s="24"/>
    </row>
    <row r="76" spans="1:31" x14ac:dyDescent="0.3">
      <c r="A76" s="13"/>
      <c r="B76" s="11"/>
      <c r="C76" s="12">
        <v>5803</v>
      </c>
      <c r="D76" s="13" t="s">
        <v>382</v>
      </c>
      <c r="E76" s="13" t="s">
        <v>383</v>
      </c>
      <c r="F76" s="12" t="s">
        <v>239</v>
      </c>
      <c r="G76" s="14">
        <v>32174</v>
      </c>
      <c r="H76" s="13">
        <v>9001957</v>
      </c>
      <c r="I76" s="15" t="s">
        <v>450</v>
      </c>
      <c r="J76" s="13" t="s">
        <v>451</v>
      </c>
      <c r="K76" s="13">
        <v>1957</v>
      </c>
      <c r="L76" s="12" t="s">
        <v>72</v>
      </c>
      <c r="M76" s="13">
        <v>165</v>
      </c>
      <c r="N76" s="13" t="s">
        <v>144</v>
      </c>
      <c r="O76" s="13"/>
      <c r="P76" s="16"/>
      <c r="Q76" s="11"/>
      <c r="R76" s="11"/>
      <c r="S76" s="11"/>
      <c r="T76" s="11"/>
      <c r="U76" s="13">
        <v>69</v>
      </c>
      <c r="V76" s="13" t="s">
        <v>355</v>
      </c>
      <c r="W76" s="13"/>
      <c r="X76" s="13" t="s">
        <v>242</v>
      </c>
      <c r="Y76" s="13" t="s">
        <v>452</v>
      </c>
      <c r="Z76" s="13"/>
      <c r="AA76" s="13"/>
      <c r="AB76" s="13"/>
      <c r="AC76" s="13"/>
      <c r="AD76" s="13"/>
      <c r="AE76" s="23"/>
    </row>
    <row r="77" spans="1:31" x14ac:dyDescent="0.3">
      <c r="A77" s="19"/>
      <c r="B77" s="17"/>
      <c r="C77" s="18">
        <v>5803</v>
      </c>
      <c r="D77" s="19" t="s">
        <v>382</v>
      </c>
      <c r="E77" s="19" t="s">
        <v>383</v>
      </c>
      <c r="F77" s="18" t="s">
        <v>239</v>
      </c>
      <c r="G77" s="20">
        <v>41072</v>
      </c>
      <c r="H77" s="19">
        <v>8058012</v>
      </c>
      <c r="I77" s="21" t="s">
        <v>453</v>
      </c>
      <c r="J77" s="19" t="s">
        <v>454</v>
      </c>
      <c r="K77" s="19">
        <v>1980</v>
      </c>
      <c r="L77" s="18" t="s">
        <v>72</v>
      </c>
      <c r="M77" s="19">
        <v>145</v>
      </c>
      <c r="N77" s="19" t="s">
        <v>439</v>
      </c>
      <c r="O77" s="19"/>
      <c r="P77" s="22"/>
      <c r="Q77" s="17"/>
      <c r="R77" s="17"/>
      <c r="S77" s="17"/>
      <c r="T77" s="17"/>
      <c r="U77" s="19">
        <v>46</v>
      </c>
      <c r="V77" s="19" t="s">
        <v>183</v>
      </c>
      <c r="W77" s="19"/>
      <c r="X77" s="19" t="s">
        <v>242</v>
      </c>
      <c r="Y77" s="19" t="s">
        <v>455</v>
      </c>
      <c r="Z77" s="19"/>
      <c r="AA77" s="19"/>
      <c r="AB77" s="19"/>
      <c r="AC77" s="19"/>
      <c r="AD77" s="19"/>
      <c r="AE77" s="24"/>
    </row>
    <row r="78" spans="1:31" x14ac:dyDescent="0.3">
      <c r="A78" s="13"/>
      <c r="B78" s="11"/>
      <c r="C78" s="12">
        <v>5803</v>
      </c>
      <c r="D78" s="13" t="s">
        <v>382</v>
      </c>
      <c r="E78" s="13" t="s">
        <v>383</v>
      </c>
      <c r="F78" s="12" t="s">
        <v>239</v>
      </c>
      <c r="G78" s="14">
        <v>915024</v>
      </c>
      <c r="H78" s="13">
        <v>339925</v>
      </c>
      <c r="I78" s="15" t="s">
        <v>456</v>
      </c>
      <c r="J78" s="13" t="s">
        <v>448</v>
      </c>
      <c r="K78" s="13">
        <v>1958</v>
      </c>
      <c r="L78" s="12" t="s">
        <v>192</v>
      </c>
      <c r="M78" s="13">
        <v>65</v>
      </c>
      <c r="N78" s="13" t="s">
        <v>74</v>
      </c>
      <c r="O78" s="13"/>
      <c r="P78" s="16"/>
      <c r="Q78" s="11"/>
      <c r="R78" s="11"/>
      <c r="S78" s="11"/>
      <c r="T78" s="11"/>
      <c r="U78" s="13">
        <v>68</v>
      </c>
      <c r="V78" s="13" t="s">
        <v>246</v>
      </c>
      <c r="W78" s="13"/>
      <c r="X78" s="13" t="s">
        <v>369</v>
      </c>
      <c r="Y78" s="13" t="s">
        <v>457</v>
      </c>
      <c r="Z78" s="13"/>
      <c r="AA78" s="13"/>
      <c r="AB78" s="13"/>
      <c r="AC78" s="13"/>
      <c r="AD78" s="13"/>
      <c r="AE78" s="23"/>
    </row>
    <row r="79" spans="1:31" x14ac:dyDescent="0.3">
      <c r="A79" s="19"/>
      <c r="B79" s="17"/>
      <c r="C79" s="18">
        <v>5803</v>
      </c>
      <c r="D79" s="19" t="s">
        <v>382</v>
      </c>
      <c r="E79" s="19" t="s">
        <v>383</v>
      </c>
      <c r="F79" s="18" t="s">
        <v>239</v>
      </c>
      <c r="G79" s="20">
        <v>15020</v>
      </c>
      <c r="H79" s="19">
        <v>7590114</v>
      </c>
      <c r="I79" s="21" t="s">
        <v>357</v>
      </c>
      <c r="J79" s="19" t="s">
        <v>458</v>
      </c>
      <c r="K79" s="19">
        <v>1959</v>
      </c>
      <c r="L79" s="18" t="s">
        <v>72</v>
      </c>
      <c r="M79" s="19">
        <v>165</v>
      </c>
      <c r="N79" s="19" t="s">
        <v>144</v>
      </c>
      <c r="O79" s="19">
        <v>3885</v>
      </c>
      <c r="P79" s="22">
        <v>1624</v>
      </c>
      <c r="Q79" s="17">
        <v>2283</v>
      </c>
      <c r="R79" s="17">
        <v>2104</v>
      </c>
      <c r="S79" s="17"/>
      <c r="T79" s="17"/>
      <c r="U79" s="19">
        <v>67</v>
      </c>
      <c r="V79" s="19" t="s">
        <v>355</v>
      </c>
      <c r="W79" s="19"/>
      <c r="X79" s="19" t="s">
        <v>242</v>
      </c>
      <c r="Y79" s="19" t="s">
        <v>459</v>
      </c>
      <c r="Z79" s="19"/>
      <c r="AA79" s="19"/>
      <c r="AB79" s="19"/>
      <c r="AC79" s="19"/>
      <c r="AD79" s="19">
        <v>15020</v>
      </c>
      <c r="AE79" s="24"/>
    </row>
    <row r="80" spans="1:31" x14ac:dyDescent="0.3">
      <c r="A80" s="13"/>
      <c r="B80" s="11"/>
      <c r="C80" s="12">
        <v>5803</v>
      </c>
      <c r="D80" s="13" t="s">
        <v>382</v>
      </c>
      <c r="E80" s="13" t="s">
        <v>383</v>
      </c>
      <c r="F80" s="12" t="s">
        <v>239</v>
      </c>
      <c r="G80" s="14">
        <v>15023</v>
      </c>
      <c r="H80" s="13">
        <v>8120791</v>
      </c>
      <c r="I80" s="15" t="s">
        <v>357</v>
      </c>
      <c r="J80" s="13" t="s">
        <v>460</v>
      </c>
      <c r="K80" s="13">
        <v>1991</v>
      </c>
      <c r="L80" s="12" t="s">
        <v>192</v>
      </c>
      <c r="M80" s="13">
        <v>35</v>
      </c>
      <c r="N80" s="13" t="s">
        <v>294</v>
      </c>
      <c r="O80" s="13">
        <v>1863</v>
      </c>
      <c r="P80" s="16">
        <v>3608</v>
      </c>
      <c r="Q80" s="11"/>
      <c r="R80" s="11"/>
      <c r="S80" s="11"/>
      <c r="T80" s="11"/>
      <c r="U80" s="13">
        <v>35</v>
      </c>
      <c r="V80" s="13" t="s">
        <v>99</v>
      </c>
      <c r="W80" s="13"/>
      <c r="X80" s="13" t="s">
        <v>242</v>
      </c>
      <c r="Y80" s="13" t="s">
        <v>461</v>
      </c>
      <c r="Z80" s="13"/>
      <c r="AA80" s="13"/>
      <c r="AB80" s="13"/>
      <c r="AC80" s="13"/>
      <c r="AD80" s="13">
        <v>15023</v>
      </c>
      <c r="AE80" s="23"/>
    </row>
    <row r="81" spans="1:31" x14ac:dyDescent="0.3">
      <c r="A81" s="19"/>
      <c r="B81" s="17"/>
      <c r="C81" s="18">
        <v>5803</v>
      </c>
      <c r="D81" s="19" t="s">
        <v>382</v>
      </c>
      <c r="E81" s="19" t="s">
        <v>383</v>
      </c>
      <c r="F81" s="18" t="s">
        <v>239</v>
      </c>
      <c r="G81" s="20">
        <v>939596</v>
      </c>
      <c r="H81" s="19"/>
      <c r="I81" s="21" t="s">
        <v>462</v>
      </c>
      <c r="J81" s="19" t="s">
        <v>463</v>
      </c>
      <c r="K81" s="19">
        <v>1973</v>
      </c>
      <c r="L81" s="18" t="s">
        <v>72</v>
      </c>
      <c r="M81" s="19">
        <v>150</v>
      </c>
      <c r="N81" s="19" t="s">
        <v>140</v>
      </c>
      <c r="O81" s="19"/>
      <c r="P81" s="22"/>
      <c r="Q81" s="17"/>
      <c r="R81" s="17"/>
      <c r="S81" s="17"/>
      <c r="T81" s="17"/>
      <c r="U81" s="19">
        <v>53</v>
      </c>
      <c r="V81" s="19" t="s">
        <v>140</v>
      </c>
      <c r="W81" s="19"/>
      <c r="X81" s="19" t="s">
        <v>369</v>
      </c>
      <c r="Y81" s="19" t="s">
        <v>464</v>
      </c>
      <c r="Z81" s="19"/>
      <c r="AA81" s="19"/>
      <c r="AB81" s="19"/>
      <c r="AC81" s="19"/>
      <c r="AD81" s="19"/>
      <c r="AE81" s="24"/>
    </row>
    <row r="82" spans="1:31" x14ac:dyDescent="0.3">
      <c r="A82" s="13"/>
      <c r="B82" s="11"/>
      <c r="C82" s="12">
        <v>5803</v>
      </c>
      <c r="D82" s="13" t="s">
        <v>382</v>
      </c>
      <c r="E82" s="13" t="s">
        <v>383</v>
      </c>
      <c r="F82" s="12" t="s">
        <v>239</v>
      </c>
      <c r="G82" s="14">
        <v>936135</v>
      </c>
      <c r="H82" s="13">
        <v>1102049</v>
      </c>
      <c r="I82" s="15" t="s">
        <v>465</v>
      </c>
      <c r="J82" s="13" t="s">
        <v>448</v>
      </c>
      <c r="K82" s="13">
        <v>1949</v>
      </c>
      <c r="L82" s="12" t="s">
        <v>192</v>
      </c>
      <c r="M82" s="13">
        <v>75</v>
      </c>
      <c r="N82" s="13" t="s">
        <v>125</v>
      </c>
      <c r="O82" s="13"/>
      <c r="P82" s="16"/>
      <c r="Q82" s="11"/>
      <c r="R82" s="11"/>
      <c r="S82" s="11"/>
      <c r="T82" s="11"/>
      <c r="U82" s="13">
        <v>77</v>
      </c>
      <c r="V82" s="13" t="s">
        <v>125</v>
      </c>
      <c r="W82" s="13"/>
      <c r="X82" s="13" t="s">
        <v>369</v>
      </c>
      <c r="Y82" s="13" t="s">
        <v>466</v>
      </c>
      <c r="Z82" s="13"/>
      <c r="AA82" s="13"/>
      <c r="AB82" s="13"/>
      <c r="AC82" s="13"/>
      <c r="AD82" s="13"/>
      <c r="AE82" s="23"/>
    </row>
    <row r="83" spans="1:31" x14ac:dyDescent="0.3">
      <c r="A83" s="19"/>
      <c r="B83" s="17"/>
      <c r="C83" s="18">
        <v>5803</v>
      </c>
      <c r="D83" s="19" t="s">
        <v>382</v>
      </c>
      <c r="E83" s="19" t="s">
        <v>383</v>
      </c>
      <c r="F83" s="18" t="s">
        <v>239</v>
      </c>
      <c r="G83" s="20">
        <v>837772</v>
      </c>
      <c r="H83" s="19">
        <v>7005123</v>
      </c>
      <c r="I83" s="21" t="s">
        <v>467</v>
      </c>
      <c r="J83" s="19" t="s">
        <v>468</v>
      </c>
      <c r="K83" s="19">
        <v>1963</v>
      </c>
      <c r="L83" s="18" t="s">
        <v>72</v>
      </c>
      <c r="M83" s="19">
        <v>160</v>
      </c>
      <c r="N83" s="19" t="s">
        <v>355</v>
      </c>
      <c r="O83" s="19"/>
      <c r="P83" s="22"/>
      <c r="Q83" s="17"/>
      <c r="R83" s="17"/>
      <c r="S83" s="17"/>
      <c r="T83" s="17"/>
      <c r="U83" s="19">
        <v>63</v>
      </c>
      <c r="V83" s="19" t="s">
        <v>355</v>
      </c>
      <c r="W83" s="19"/>
      <c r="X83" s="19" t="s">
        <v>325</v>
      </c>
      <c r="Y83" s="19" t="s">
        <v>469</v>
      </c>
      <c r="Z83" s="19"/>
      <c r="AA83" s="19"/>
      <c r="AB83" s="19"/>
      <c r="AC83" s="19"/>
      <c r="AD83" s="19"/>
      <c r="AE83" s="24"/>
    </row>
    <row r="84" spans="1:31" x14ac:dyDescent="0.3">
      <c r="A84" s="13"/>
      <c r="B84" s="11"/>
      <c r="C84" s="12">
        <v>5803</v>
      </c>
      <c r="D84" s="13" t="s">
        <v>382</v>
      </c>
      <c r="E84" s="13" t="s">
        <v>383</v>
      </c>
      <c r="F84" s="12" t="s">
        <v>239</v>
      </c>
      <c r="G84" s="14">
        <v>932543</v>
      </c>
      <c r="H84" s="13">
        <v>1971961</v>
      </c>
      <c r="I84" s="15" t="s">
        <v>470</v>
      </c>
      <c r="J84" s="13" t="s">
        <v>306</v>
      </c>
      <c r="K84" s="13">
        <v>1961</v>
      </c>
      <c r="L84" s="12" t="s">
        <v>192</v>
      </c>
      <c r="M84" s="13">
        <v>65</v>
      </c>
      <c r="N84" s="13" t="s">
        <v>74</v>
      </c>
      <c r="O84" s="13"/>
      <c r="P84" s="16"/>
      <c r="Q84" s="11"/>
      <c r="R84" s="11"/>
      <c r="S84" s="11"/>
      <c r="T84" s="11"/>
      <c r="U84" s="13">
        <v>65</v>
      </c>
      <c r="V84" s="13" t="s">
        <v>246</v>
      </c>
      <c r="W84" s="13"/>
      <c r="X84" s="13" t="s">
        <v>369</v>
      </c>
      <c r="Y84" s="13" t="s">
        <v>471</v>
      </c>
      <c r="Z84" s="13"/>
      <c r="AA84" s="13"/>
      <c r="AB84" s="13"/>
      <c r="AC84" s="13"/>
      <c r="AD84" s="13"/>
      <c r="AE84" s="23"/>
    </row>
    <row r="85" spans="1:31" x14ac:dyDescent="0.3">
      <c r="A85" s="19"/>
      <c r="B85" s="17"/>
      <c r="C85" s="18">
        <v>5803</v>
      </c>
      <c r="D85" s="19" t="s">
        <v>382</v>
      </c>
      <c r="E85" s="19" t="s">
        <v>383</v>
      </c>
      <c r="F85" s="18" t="s">
        <v>239</v>
      </c>
      <c r="G85" s="20">
        <v>949675</v>
      </c>
      <c r="H85" s="19"/>
      <c r="I85" s="21" t="s">
        <v>470</v>
      </c>
      <c r="J85" s="19" t="s">
        <v>472</v>
      </c>
      <c r="K85" s="19">
        <v>1967</v>
      </c>
      <c r="L85" s="18" t="s">
        <v>72</v>
      </c>
      <c r="M85" s="19">
        <v>155</v>
      </c>
      <c r="N85" s="19" t="s">
        <v>298</v>
      </c>
      <c r="O85" s="19"/>
      <c r="P85" s="22"/>
      <c r="Q85" s="17"/>
      <c r="R85" s="17"/>
      <c r="S85" s="17"/>
      <c r="T85" s="17"/>
      <c r="U85" s="19">
        <v>59</v>
      </c>
      <c r="V85" s="19" t="s">
        <v>140</v>
      </c>
      <c r="W85" s="19"/>
      <c r="X85" s="19" t="s">
        <v>369</v>
      </c>
      <c r="Y85" s="19" t="s">
        <v>473</v>
      </c>
      <c r="Z85" s="19"/>
      <c r="AA85" s="19"/>
      <c r="AB85" s="19"/>
      <c r="AC85" s="19"/>
      <c r="AD85" s="19"/>
      <c r="AE85" s="24"/>
    </row>
    <row r="86" spans="1:31" x14ac:dyDescent="0.3">
      <c r="A86" s="13"/>
      <c r="B86" s="11"/>
      <c r="C86" s="12">
        <v>5803</v>
      </c>
      <c r="D86" s="13" t="s">
        <v>382</v>
      </c>
      <c r="E86" s="13" t="s">
        <v>383</v>
      </c>
      <c r="F86" s="12" t="s">
        <v>239</v>
      </c>
      <c r="G86" s="14">
        <v>39551</v>
      </c>
      <c r="H86" s="13">
        <v>8002199</v>
      </c>
      <c r="I86" s="15" t="s">
        <v>474</v>
      </c>
      <c r="J86" s="13" t="s">
        <v>475</v>
      </c>
      <c r="K86" s="13">
        <v>1971</v>
      </c>
      <c r="L86" s="12" t="s">
        <v>192</v>
      </c>
      <c r="M86" s="13">
        <v>55</v>
      </c>
      <c r="N86" s="13" t="s">
        <v>175</v>
      </c>
      <c r="O86" s="13">
        <v>1338</v>
      </c>
      <c r="P86" s="16">
        <v>4094</v>
      </c>
      <c r="Q86" s="11"/>
      <c r="R86" s="11"/>
      <c r="S86" s="11"/>
      <c r="T86" s="11"/>
      <c r="U86" s="13">
        <v>55</v>
      </c>
      <c r="V86" s="13" t="s">
        <v>81</v>
      </c>
      <c r="W86" s="13"/>
      <c r="X86" s="13" t="s">
        <v>242</v>
      </c>
      <c r="Y86" s="13" t="s">
        <v>476</v>
      </c>
      <c r="Z86" s="13"/>
      <c r="AA86" s="13"/>
      <c r="AB86" s="13"/>
      <c r="AC86" s="13"/>
      <c r="AD86" s="13">
        <v>39551</v>
      </c>
      <c r="AE86" s="23"/>
    </row>
    <row r="87" spans="1:31" x14ac:dyDescent="0.3">
      <c r="A87" s="19"/>
      <c r="B87" s="17"/>
      <c r="C87" s="18">
        <v>5803</v>
      </c>
      <c r="D87" s="19" t="s">
        <v>382</v>
      </c>
      <c r="E87" s="19" t="s">
        <v>383</v>
      </c>
      <c r="F87" s="18" t="s">
        <v>239</v>
      </c>
      <c r="G87" s="20">
        <v>802737</v>
      </c>
      <c r="H87" s="19">
        <v>38579</v>
      </c>
      <c r="I87" s="21" t="s">
        <v>477</v>
      </c>
      <c r="J87" s="19" t="s">
        <v>478</v>
      </c>
      <c r="K87" s="19">
        <v>1962</v>
      </c>
      <c r="L87" s="18" t="s">
        <v>192</v>
      </c>
      <c r="M87" s="19">
        <v>60</v>
      </c>
      <c r="N87" s="19" t="s">
        <v>246</v>
      </c>
      <c r="O87" s="19"/>
      <c r="P87" s="22"/>
      <c r="Q87" s="17"/>
      <c r="R87" s="17"/>
      <c r="S87" s="17"/>
      <c r="T87" s="17"/>
      <c r="U87" s="19">
        <v>64</v>
      </c>
      <c r="V87" s="19" t="s">
        <v>246</v>
      </c>
      <c r="W87" s="19"/>
      <c r="X87" s="19" t="s">
        <v>325</v>
      </c>
      <c r="Y87" s="19" t="s">
        <v>479</v>
      </c>
      <c r="Z87" s="19"/>
      <c r="AA87" s="19"/>
      <c r="AB87" s="19"/>
      <c r="AC87" s="19"/>
      <c r="AD87" s="19"/>
      <c r="AE87" s="24"/>
    </row>
    <row r="88" spans="1:31" x14ac:dyDescent="0.3">
      <c r="A88" s="13"/>
      <c r="B88" s="11"/>
      <c r="C88" s="12">
        <v>5803</v>
      </c>
      <c r="D88" s="13" t="s">
        <v>382</v>
      </c>
      <c r="E88" s="13" t="s">
        <v>383</v>
      </c>
      <c r="F88" s="12" t="s">
        <v>239</v>
      </c>
      <c r="G88" s="14">
        <v>38919</v>
      </c>
      <c r="H88" s="13">
        <v>8345959</v>
      </c>
      <c r="I88" s="15" t="s">
        <v>480</v>
      </c>
      <c r="J88" s="13" t="s">
        <v>481</v>
      </c>
      <c r="K88" s="13">
        <v>1989</v>
      </c>
      <c r="L88" s="12" t="s">
        <v>192</v>
      </c>
      <c r="M88" s="13">
        <v>35</v>
      </c>
      <c r="N88" s="13" t="s">
        <v>294</v>
      </c>
      <c r="O88" s="13"/>
      <c r="P88" s="16"/>
      <c r="Q88" s="11"/>
      <c r="R88" s="11"/>
      <c r="S88" s="11"/>
      <c r="T88" s="11"/>
      <c r="U88" s="13">
        <v>37</v>
      </c>
      <c r="V88" s="13" t="s">
        <v>99</v>
      </c>
      <c r="W88" s="13"/>
      <c r="X88" s="13" t="s">
        <v>242</v>
      </c>
      <c r="Y88" s="13" t="s">
        <v>482</v>
      </c>
      <c r="Z88" s="13"/>
      <c r="AA88" s="13"/>
      <c r="AB88" s="13"/>
      <c r="AC88" s="13"/>
      <c r="AD88" s="13"/>
      <c r="AE88" s="23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encours</vt:lpstr>
      <vt:lpstr>ote</vt:lpstr>
      <vt:lpstr>aout</vt:lpstr>
      <vt:lpstr>octobre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</dc:creator>
  <cp:lastModifiedBy>Eric Pierre</cp:lastModifiedBy>
  <dcterms:created xsi:type="dcterms:W3CDTF">2015-06-05T18:19:34Z</dcterms:created>
  <dcterms:modified xsi:type="dcterms:W3CDTF">2026-09-16T22:18:12Z</dcterms:modified>
</cp:coreProperties>
</file>